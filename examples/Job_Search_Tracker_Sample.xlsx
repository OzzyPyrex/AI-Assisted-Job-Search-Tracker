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863d6c0ad0940e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51568b2efcf0482c"/>
    <x:sheet xmlns:r="http://schemas.openxmlformats.org/officeDocument/2006/relationships" name="Tracker" sheetId="2" r:id="R01db12136cdb4e4c"/>
    <x:sheet xmlns:r="http://schemas.openxmlformats.org/officeDocument/2006/relationships" name="Lists" sheetId="3" r:id="R0d0c60cb8a6546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0"/>
    <x:numFmt numFmtId="202" formatCode="&quot;€&quot;#,##0"/>
  </x:numFmts>
  <x:fonts count="9">
    <x:font>
      <x:sz val="11"/>
      <x:name val="Carlito"/>
    </x:font>
    <x:font>
      <x:b/>
      <x:sz val="11"/>
      <x:color rgb="FFFFFFFF"/>
      <x:name val="Carlito"/>
    </x:font>
    <x:font>
      <x:sz val="10"/>
      <x:color rgb="FF111827"/>
      <x:name val="Carlito"/>
    </x:font>
    <x:font>
      <x:b/>
      <x:sz val="20"/>
      <x:color rgb="FFFFFFFF"/>
      <x:name val="Carlito"/>
    </x:font>
    <x:font>
      <x:i/>
      <x:sz val="11"/>
      <x:color rgb="FF0F172A"/>
      <x:name val="Carlito"/>
    </x:font>
    <x:font>
      <x:b/>
      <x:sz val="11"/>
      <x:color rgb="FF111827"/>
      <x:name val="Carlito"/>
    </x:font>
    <x:font>
      <x:b/>
      <x:sz val="18"/>
      <x:color rgb="FF0F172A"/>
      <x:name val="Carlito"/>
    </x:font>
    <x:font>
      <x:b/>
      <x:sz val="11"/>
      <x:color rgb="FF5B21B6"/>
      <x:name val="Carlito"/>
    </x:font>
    <x:font>
      <x:sz val="11"/>
      <x:color rgb="FF7C2D12"/>
      <x:name val="Carlito"/>
    </x:font>
  </x:fonts>
  <x:fills count="14">
    <x:fill>
      <x:patternFill patternType="none"/>
    </x:fill>
    <x:fill>
      <x:patternFill patternType="gray125"/>
    </x:fill>
    <x:fill>
      <x:patternFill patternType="solid">
        <x:fgColor rgb="FF1F2937"/>
      </x:patternFill>
    </x:fill>
    <x:fill>
      <x:patternFill patternType="solid">
        <x:fgColor rgb="FF0F766E"/>
      </x:patternFill>
    </x:fill>
    <x:fill>
      <x:patternFill patternType="solid">
        <x:fgColor rgb="FF111827"/>
      </x:patternFill>
    </x:fill>
    <x:fill>
      <x:patternFill patternType="solid">
        <x:fgColor rgb="FFE0F2FE"/>
      </x:patternFill>
    </x:fill>
    <x:fill>
      <x:patternFill patternType="solid">
        <x:fgColor rgb="FFF8FAFC"/>
      </x:patternFill>
    </x:fill>
    <x:fill>
      <x:patternFill patternType="solid">
        <x:fgColor rgb="FF2563EB"/>
      </x:patternFill>
    </x:fill>
    <x:fill>
      <x:patternFill patternType="solid">
        <x:fgColor rgb="FF7C3AED"/>
      </x:patternFill>
    </x:fill>
    <x:fill>
      <x:patternFill patternType="solid">
        <x:fgColor rgb="FFFFFFFF"/>
      </x:patternFill>
    </x:fill>
    <x:fill>
      <x:patternFill patternType="solid">
        <x:fgColor rgb="FFFAFAFA"/>
      </x:patternFill>
    </x:fill>
    <x:fill>
      <x:patternFill patternType="solid">
        <x:fgColor rgb="FFF5F3FF"/>
      </x:patternFill>
    </x:fill>
    <x:fill>
      <x:patternFill patternType="solid">
        <x:fgColor rgb="FFB45309"/>
      </x:patternFill>
    </x:fill>
    <x:fill>
      <x:patternFill patternType="solid">
        <x:fgColor rgb="FFFFF7ED"/>
      </x:patternFill>
    </x:fill>
  </x:fills>
  <x:borders count="10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</x:border>
    <x:border>
      <x:left style="thin">
        <x:color rgb="FF0F766E"/>
      </x:left>
      <x:top style="thin">
        <x:color rgb="FF0F766E"/>
      </x:top>
      <x:bottom style="thin">
        <x:color rgb="FF0F766E"/>
      </x:bottom>
    </x:border>
    <x:border>
      <x:top style="thin">
        <x:color rgb="FF0F766E"/>
      </x:top>
      <x:bottom style="thin">
        <x:color rgb="FF0F766E"/>
      </x:bottom>
    </x:border>
    <x:border>
      <x:right style="thin">
        <x:color rgb="FF0F766E"/>
      </x:right>
      <x:top style="thin">
        <x:color rgb="FF0F766E"/>
      </x:top>
      <x:bottom style="thin">
        <x:color rgb="FF0F766E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FDBA74"/>
      </x:left>
      <x:right style="thin">
        <x:color rgb="FFFDBA74"/>
      </x:right>
      <x:top style="thin">
        <x:color rgb="FFFDBA74"/>
      </x:top>
      <x:bottom style="thin">
        <x:color rgb="FFFDBA74"/>
      </x:bottom>
    </x:border>
  </x:borders>
  <x:cellStyleXfs count="1">
    <x:xf numFmtId="0" fontId="0" fillId="0" borderId="0"/>
  </x:cellStyleXfs>
  <x:cellXfs count="5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4" xfId="0" applyNumberFormat="1" applyFont="1" applyFill="1" applyBorder="1"/>
    <x:xf numFmtId="0" fontId="1" fillId="3" borderId="5" xfId="0" applyNumberFormat="1" applyFont="1" applyFill="1" applyBorder="1"/>
    <x:xf numFmtId="0" fontId="1" fillId="3" borderId="6" xfId="0" applyNumberFormat="1" applyFont="1" applyFill="1" applyBorder="1"/>
    <x:xf numFmtId="0" fontId="1" fillId="3" borderId="4" xfId="0" applyNumberFormat="1" applyFont="1" applyFill="1" applyBorder="1" applyAlignment="1">
      <x:alignment wrapText="1"/>
    </x:xf>
    <x:xf numFmtId="0" fontId="1" fillId="3" borderId="5" xfId="0" applyNumberFormat="1" applyFont="1" applyFill="1" applyBorder="1" applyAlignment="1">
      <x:alignment wrapText="1"/>
    </x:xf>
    <x:xf numFmtId="0" fontId="1" fillId="3" borderId="6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0" fontId="2" fillId="0" borderId="0" xfId="0" applyNumberFormat="1" applyFont="1" applyFill="1" applyBorder="1"/>
    <x:xf numFmtId="0" fontId="2" fillId="0" borderId="0" xfId="0" applyNumberFormat="1" applyFont="1" applyFill="1" applyBorder="1"/>
    <x:xf numFmtId="201" fontId="2" fillId="0" borderId="0" xfId="0" applyNumberFormat="1" applyFont="1" applyFill="1" applyBorder="1"/>
    <x:xf numFmtId="202" fontId="2" fillId="0" borderId="0" xfId="0" applyNumberFormat="1" applyFont="1" applyFill="1" applyBorder="1"/>
    <x:xf numFmtId="200" fontId="2" fillId="0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 applyAlignment="1">
      <x:alignment wrapText="1"/>
    </x:xf>
    <x:xf numFmtId="201" fontId="2" fillId="0" borderId="0" xfId="0" applyNumberFormat="1" applyFont="1" applyFill="1" applyBorder="1" applyAlignment="1">
      <x:alignment wrapText="1"/>
    </x:xf>
    <x:xf numFmtId="202" fontId="2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7" xfId="0" applyNumberFormat="1" applyFont="1" applyFill="1" applyBorder="1"/>
    <x:xf numFmtId="0" fontId="6" fillId="6" borderId="7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0" fillId="9" borderId="0" xfId="0" applyNumberFormat="1" applyFont="1" applyFill="1" applyBorder="1"/>
    <x:xf numFmtId="0" fontId="0" fillId="9" borderId="8" xfId="0" applyNumberFormat="1" applyFont="1" applyFill="1" applyBorder="1"/>
    <x:xf numFmtId="0" fontId="0" fillId="10" borderId="0" xfId="0" applyNumberFormat="1" applyFont="1" applyFill="1" applyBorder="1"/>
    <x:xf numFmtId="0" fontId="0" fillId="10" borderId="8" xfId="0" applyNumberFormat="1" applyFont="1" applyFill="1" applyBorder="1"/>
    <x:xf numFmtId="0" fontId="0" fillId="10" borderId="8" xfId="0" applyNumberFormat="1" applyFont="1" applyFill="1" applyBorder="1" applyAlignment="1">
      <x:alignment wrapText="1"/>
    </x:xf>
    <x:xf numFmtId="0" fontId="0" fillId="11" borderId="8" xfId="0" applyNumberFormat="1" applyFont="1" applyFill="1" applyBorder="1" applyAlignment="1">
      <x:alignment wrapText="1"/>
    </x:xf>
    <x:xf numFmtId="0" fontId="7" fillId="11" borderId="8" xfId="0" applyNumberFormat="1" applyFont="1" applyFill="1" applyBorder="1" applyAlignment="1">
      <x:alignment wrapText="1"/>
    </x:xf>
    <x:xf numFmtId="0" fontId="0" fillId="12" borderId="0" xfId="0" applyNumberFormat="1" applyFont="1" applyFill="1" applyBorder="1"/>
    <x:xf numFmtId="0" fontId="1" fillId="12" borderId="0" xfId="0" applyNumberFormat="1" applyFont="1" applyFill="1" applyBorder="1"/>
    <x:xf numFmtId="0" fontId="0" fillId="13" borderId="0" xfId="0" applyNumberFormat="1" applyFont="1" applyFill="1" applyBorder="1"/>
    <x:xf numFmtId="0" fontId="8" fillId="13" borderId="0" xfId="0" applyNumberFormat="1" applyFont="1" applyFill="1" applyBorder="1"/>
    <x:xf numFmtId="0" fontId="8" fillId="13" borderId="9" xfId="0" applyNumberFormat="1" applyFont="1" applyFill="1" applyBorder="1"/>
    <x:xf numFmtId="0" fontId="8" fillId="13" borderId="9" xfId="0" applyNumberFormat="1" applyFont="1" applyFill="1" applyBorder="1" applyAlignment="1">
      <x:alignment wrapText="1"/>
    </x:xf>
  </x:cellXfs>
  <x:cellStyles count="1">
    <x:cellStyle name="Normal" xfId="0"/>
  </x:cellStyles>
  <x:dxfs count="12"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475569"/>
      </x:font>
      <x:fill>
        <x:patternFill patternType="solid">
          <x:bgColor rgb="FFF1F5F9"/>
        </x:patternFill>
      </x:fill>
    </x:dxf>
    <x:dxf>
      <x:font>
        <x:b/>
        <x:color rgb="FFBE123C"/>
      </x:font>
      <x:fill>
        <x:patternFill patternType="solid">
          <x:bgColor rgb="FFFFE4E6"/>
        </x:patternFill>
      </x:fill>
    </x:dxf>
    <x:dxf>
      <x:font>
        <x:b/>
        <x:color rgb="FF0F766E"/>
      </x:font>
      <x:fill>
        <x:patternFill patternType="solid">
          <x:bgColor rgb="FFCCFBF1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6D28D9"/>
      </x:font>
      <x:fill>
        <x:patternFill patternType="solid">
          <x:bgColor rgb="FFEDE9FE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A3412"/>
      </x:font>
      <x:fill>
        <x:patternFill patternType="solid">
          <x:bgColor rgb="FFFED7AA"/>
        </x:patternFill>
      </x:fill>
    </x:dxf>
    <x:dxf>
      <x:font>
        <x:b/>
        <x:color rgb="FF1D4ED8"/>
      </x:font>
      <x:fill>
        <x:patternFill patternType="solid">
          <x:bgColor rgb="FFDBEAFE"/>
        </x:patternFill>
      </x:fill>
    </x:dxf>
    <x:dxf>
      <x:font>
        <x:b/>
        <x:color rgb="FFBE123C"/>
      </x:font>
      <x:fill>
        <x:patternFill patternType="solid">
          <x:bgColor rgb="FFFFE4E6"/>
        </x:patternFill>
      </x:fill>
    </x:dxf>
    <x:dxf>
      <x:font>
        <x:b/>
        <x:color rgb="FF0F766E"/>
      </x:font>
      <x:fill>
        <x:patternFill patternType="solid">
          <x:bgColor rgb="FFCCFBF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6324e8e0154ffa" /><Relationship Type="http://schemas.openxmlformats.org/officeDocument/2006/relationships/theme" Target="/xl/theme/theme1.xml" Id="Rf106608c6b384f64" /><Relationship Type="http://schemas.openxmlformats.org/officeDocument/2006/relationships/sharedStrings" Target="/xl/sharedStrings.xml" Id="R4ce71aafa25b4d2b" /><Relationship Type="http://schemas.openxmlformats.org/officeDocument/2006/relationships/worksheet" Target="/xl/worksheets/sheet1.xml" Id="R51568b2efcf0482c" /><Relationship Type="http://schemas.openxmlformats.org/officeDocument/2006/relationships/worksheet" Target="/xl/worksheets/sheet2.xml" Id="R01db12136cdb4e4c" /><Relationship Type="http://schemas.openxmlformats.org/officeDocument/2006/relationships/worksheet" Target="/xl/worksheets/sheet3.xml" Id="R0d0c60cb8a654623" /></Relationships>
</file>

<file path=xl/tables/table1.xml><?xml version="1.0" encoding="utf-8"?>
<x:table xmlns:x="http://schemas.openxmlformats.org/spreadsheetml/2006/main" id="1" name="JobTrackerTable" displayName="JobTrackerTable" ref="A1:Q101" headerRowCount="1" totalsRowCount="0" totalsRowShown="0">
  <x:autoFilter ref="A1:Q101"/>
  <x:tableColumns count="17">
    <x:tableColumn id="1" name="Date discovered"/>
    <x:tableColumn id="2" name="Employer"/>
    <x:tableColumn id="3" name="Job title"/>
    <x:tableColumn id="4" name="Location"/>
    <x:tableColumn id="5" name="Work mode"/>
    <x:tableColumn id="6" name="Application URL"/>
    <x:tableColumn id="7" name="Posting date"/>
    <x:tableColumn id="8" name="Closing date"/>
    <x:tableColumn id="9" name="Days open"/>
    <x:tableColumn id="10" name="Freshness"/>
    <x:tableColumn id="11" name="Match score"/>
    <x:tableColumn id="12" name="Priority"/>
    <x:tableColumn id="13" name="Status"/>
    <x:tableColumn id="14" name="Salary (EUR)"/>
    <x:tableColumn id="15" name="Source URL"/>
    <x:tableColumn id="16" name="Notes"/>
    <x:tableColumn id="17" name="Duplicate check"/>
  </x:tableColumns>
  <x:tableStyleInfo name="TableStyleMedium4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5cd069d23ae424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6" hidden="0" customWidth="1"/>
    <x:col min="3" max="3" width="20" hidden="0" customWidth="1"/>
    <x:col min="4" max="4" width="4" hidden="0" customWidth="1"/>
    <x:col min="5" max="5" width="20" hidden="0" customWidth="1"/>
    <x:col min="6" max="6" width="12" hidden="0" customWidth="1"/>
    <x:col min="7" max="7" width="24" hidden="0" customWidth="1"/>
    <x:col min="8" max="8" width="4" hidden="0" customWidth="1"/>
    <x:col min="9" max="9" width="20" hidden="0" customWidth="1"/>
    <x:col min="10" max="10" width="12" hidden="0" customWidth="1"/>
  </x:cols>
  <x:sheetData>
    <x:row r="1" ht="34" customHeight="1">
      <x:c r="A1" s="26" t="str">
        <x:v>Ireland Data &amp; Analytics Job Tracker</x:v>
      </x:c>
      <x:c r="B1" s="26"/>
      <x:c r="C1" s="26"/>
      <x:c r="D1" s="26"/>
      <x:c r="E1" s="26"/>
      <x:c r="F1" s="26"/>
      <x:c r="G1" s="26"/>
      <x:c r="H1" s="26"/>
      <x:c r="I1" s="26"/>
      <x:c r="J1" s="26"/>
    </x:row>
    <x:row r="2" ht="28" customHeight="1">
      <x:c r="A2" s="28" t="str">
        <x:v>Portfolio-safe sample using fictional vacancies. Keep real application data in a private local copy.</x:v>
      </x:c>
      <x:c r="B2" s="28"/>
      <x:c r="C2" s="28"/>
      <x:c r="D2" s="28"/>
      <x:c r="E2" s="28"/>
      <x:c r="F2" s="28"/>
      <x:c r="G2" s="28"/>
      <x:c r="H2" s="28"/>
      <x:c r="I2" s="28"/>
      <x:c r="J2" s="28"/>
    </x:row>
    <x:row r="4" ht="28" customHeight="1">
      <x:c r="A4" s="31" t="str">
        <x:v>Total tracked</x:v>
      </x:c>
      <x:c r="B4" s="31"/>
      <x:c r="C4" s="31" t="str">
        <x:v>Apply immediately</x:v>
      </x:c>
      <x:c r="D4" s="31"/>
      <x:c r="E4" s="31" t="str">
        <x:v>Fresh this week</x:v>
      </x:c>
      <x:c r="F4" s="31"/>
      <x:c r="G4" s="31" t="str">
        <x:v>Closing in 7 days</x:v>
      </x:c>
      <x:c r="H4" s="31"/>
      <x:c r="I4" s="31" t="str">
        <x:v>Applied</x:v>
      </x:c>
      <x:c r="J4" s="31"/>
    </x:row>
    <x:row r="5" ht="28" customHeight="1">
      <x:c r="A5" s="32" t="n">
        <x:f>COUNTA('Tracker'!$B$2:$B$101)</x:f>
        <x:v>6</x:v>
      </x:c>
      <x:c r="B5" s="32"/>
      <x:c r="C5" s="32" t="n">
        <x:f>COUNTIF('Tracker'!$L$2:$L$101,"Apply immediately")</x:f>
        <x:v>2</x:v>
      </x:c>
      <x:c r="D5" s="32"/>
      <x:c r="E5" s="32" t="n">
        <x:f>COUNTIF('Tracker'!$J$2:$J$101,"Last 7 days")+COUNTIF('Tracker'!$J$2:$J$101,"Today")</x:f>
        <x:v>4</x:v>
      </x:c>
      <x:c r="F5" s="32"/>
      <x:c r="G5" s="32" t="n">
        <x:f>COUNTIFS('Tracker'!$H$2:$H$101,"&gt;="&amp;TODAY(),'Tracker'!$H$2:$H$101,"&lt;="&amp;TODAY()+7)</x:f>
        <x:v>2</x:v>
      </x:c>
      <x:c r="H5" s="32"/>
      <x:c r="I5" s="32" t="n">
        <x:f>COUNTIF('Tracker'!$M$2:$M$101,"Applied")</x:f>
        <x:v>1</x:v>
      </x:c>
      <x:c r="J5" s="32"/>
    </x:row>
    <x:row r="7">
      <x:c r="A7" s="7" t="str">
        <x:v>Freshness pipeline</x:v>
      </x:c>
      <x:c r="B7" s="7"/>
      <x:c r="C7" s="7"/>
      <x:c r="E7" s="34" t="str">
        <x:v>Priority snapshot</x:v>
      </x:c>
      <x:c r="F7" s="34"/>
      <x:c r="G7" s="34"/>
      <x:c r="I7" s="36" t="str">
        <x:v>Status snapshot</x:v>
      </x:c>
      <x:c r="J7" s="36"/>
    </x:row>
    <x:row r="8">
      <x:c r="A8" s="2" t="str">
        <x:v>Bucket</x:v>
      </x:c>
      <x:c r="B8" s="2" t="str">
        <x:v>Count</x:v>
      </x:c>
      <x:c r="C8" s="2" t="str">
        <x:v>Suggested action</x:v>
      </x:c>
      <x:c r="E8" s="2" t="str">
        <x:v>Priority</x:v>
      </x:c>
      <x:c r="F8" s="2" t="str">
        <x:v>Count</x:v>
      </x:c>
      <x:c r="G8" s="2" t="str">
        <x:v>Meaning</x:v>
      </x:c>
      <x:c r="I8" s="2" t="str">
        <x:v>Status</x:v>
      </x:c>
      <x:c r="J8" s="2" t="str">
        <x:v>Count</x:v>
      </x:c>
    </x:row>
    <x:row r="9">
      <x:c r="A9" s="38" t="str">
        <x:v>Today</x:v>
      </x:c>
      <x:c r="B9" s="38" t="n">
        <x:f>COUNTIF('Tracker'!$J$2:$J$101,A9)</x:f>
        <x:v>2</x:v>
      </x:c>
      <x:c r="C9" s="38" t="str">
        <x:v>Review first</x:v>
      </x:c>
      <x:c r="E9" s="38" t="str">
        <x:v>Apply immediately</x:v>
      </x:c>
      <x:c r="F9" s="38" t="n">
        <x:f>COUNTIF('Tracker'!$L$2:$L$101,E9)</x:f>
        <x:v>2</x:v>
      </x:c>
      <x:c r="G9" s="38" t="str">
        <x:v>Best timing and match</x:v>
      </x:c>
      <x:c r="I9" s="38" t="str">
        <x:v>Open</x:v>
      </x:c>
      <x:c r="J9" s="38" t="n">
        <x:f>COUNTIF('Tracker'!$M$2:$M$101,I9)</x:f>
        <x:v>2</x:v>
      </x:c>
    </x:row>
    <x:row r="10">
      <x:c r="A10" s="38" t="str">
        <x:v>Last 7 days</x:v>
      </x:c>
      <x:c r="B10" s="38" t="n">
        <x:f>COUNTIF('Tracker'!$J$2:$J$101,A10)</x:f>
        <x:v>2</x:v>
      </x:c>
      <x:c r="C10" s="38" t="str">
        <x:v>Prioritise strong matches</x:v>
      </x:c>
      <x:c r="E10" s="38" t="str">
        <x:v>Strong option</x:v>
      </x:c>
      <x:c r="F10" s="38" t="n">
        <x:f>COUNTIF('Tracker'!$L$2:$L$101,E10)</x:f>
        <x:v>2</x:v>
      </x:c>
      <x:c r="G10" s="38" t="str">
        <x:v>Likely worth applying</x:v>
      </x:c>
      <x:c r="I10" s="38" t="str">
        <x:v>Saved</x:v>
      </x:c>
      <x:c r="J10" s="38" t="n">
        <x:f>COUNTIF('Tracker'!$M$2:$M$101,I10)</x:f>
        <x:v>1</x:v>
      </x:c>
    </x:row>
    <x:row r="11">
      <x:c r="A11" s="38" t="str">
        <x:v>Older</x:v>
      </x:c>
      <x:c r="B11" s="38" t="n">
        <x:f>COUNTIF('Tracker'!$J$2:$J$101,A11)</x:f>
        <x:v>2</x:v>
      </x:c>
      <x:c r="C11" s="38" t="str">
        <x:v>Check only if fit is compelling</x:v>
      </x:c>
      <x:c r="E11" s="38" t="str">
        <x:v>Possible option</x:v>
      </x:c>
      <x:c r="F11" s="38" t="n">
        <x:f>COUNTIF('Tracker'!$L$2:$L$101,E11)</x:f>
        <x:v>1</x:v>
      </x:c>
      <x:c r="G11" s="38" t="str">
        <x:v>Worth a second look</x:v>
      </x:c>
      <x:c r="I11" s="38" t="str">
        <x:v>Applied</x:v>
      </x:c>
      <x:c r="J11" s="38" t="n">
        <x:f>COUNTIF('Tracker'!$M$2:$M$101,I11)</x:f>
        <x:v>1</x:v>
      </x:c>
    </x:row>
    <x:row r="12">
      <x:c r="E12" s="38" t="str">
        <x:v>Low priority</x:v>
      </x:c>
      <x:c r="F12" s="38" t="n">
        <x:f>COUNTIF('Tracker'!$L$2:$L$101,E12)</x:f>
        <x:v>1</x:v>
      </x:c>
      <x:c r="G12" s="38" t="str">
        <x:v>Track only</x:v>
      </x:c>
      <x:c r="I12" s="38" t="str">
        <x:v>Interview</x:v>
      </x:c>
      <x:c r="J12" s="38" t="n">
        <x:f>COUNTIF('Tracker'!$M$2:$M$101,I12)</x:f>
        <x:v>1</x:v>
      </x:c>
    </x:row>
    <x:row r="15">
      <x:c r="A15" s="36" t="str">
        <x:v>Recommended review order</x:v>
      </x:c>
      <x:c r="B15" s="36"/>
      <x:c r="C15" s="36"/>
      <x:c r="D15" s="36"/>
      <x:c r="E15" s="36"/>
      <x:c r="F15" s="36"/>
      <x:c r="G15" s="36"/>
      <x:c r="H15" s="36"/>
      <x:c r="I15" s="36"/>
      <x:c r="J15" s="36"/>
    </x:row>
    <x:row r="16" ht="30" customHeight="1">
      <x:c r="A16" s="43" t="str">
        <x:v>1</x:v>
      </x:c>
      <x:c r="B16" s="41" t="str">
        <x:v>Freshness</x:v>
      </x:c>
      <x:c r="C16" s="41" t="str">
        <x:v>Today, then Last 7 days</x:v>
      </x:c>
      <x:c r="D16" s="41"/>
      <x:c r="E16" s="41"/>
      <x:c r="F16" s="41"/>
      <x:c r="G16" s="41"/>
      <x:c r="H16" s="41"/>
      <x:c r="I16" s="41"/>
      <x:c r="J16" s="41"/>
    </x:row>
    <x:row r="17" ht="30" customHeight="1">
      <x:c r="A17" s="43" t="str">
        <x:v>2</x:v>
      </x:c>
      <x:c r="B17" s="41" t="str">
        <x:v>Match score</x:v>
      </x:c>
      <x:c r="C17" s="41" t="str">
        <x:v>Highest first</x:v>
      </x:c>
      <x:c r="D17" s="41"/>
      <x:c r="E17" s="41"/>
      <x:c r="F17" s="41"/>
      <x:c r="G17" s="41"/>
      <x:c r="H17" s="41"/>
      <x:c r="I17" s="41"/>
      <x:c r="J17" s="41"/>
    </x:row>
    <x:row r="18" ht="30" customHeight="1">
      <x:c r="A18" s="43" t="str">
        <x:v>3</x:v>
      </x:c>
      <x:c r="B18" s="41" t="str">
        <x:v>Closing date</x:v>
      </x:c>
      <x:c r="C18" s="41" t="str">
        <x:v>Soonest valid deadline first</x:v>
      </x:c>
      <x:c r="D18" s="41"/>
      <x:c r="E18" s="41"/>
      <x:c r="F18" s="41"/>
      <x:c r="G18" s="41"/>
      <x:c r="H18" s="41"/>
      <x:c r="I18" s="41"/>
      <x:c r="J18" s="41"/>
    </x:row>
    <x:row r="19" ht="30" customHeight="1">
      <x:c r="A19" s="43" t="str">
        <x:v>4</x:v>
      </x:c>
      <x:c r="B19" s="41" t="str">
        <x:v>Application status</x:v>
      </x:c>
      <x:c r="C19" s="41" t="str">
        <x:v>Avoid duplicate effort and follow up consistently</x:v>
      </x:c>
      <x:c r="D19" s="41"/>
      <x:c r="E19" s="41"/>
      <x:c r="F19" s="41"/>
      <x:c r="G19" s="41"/>
      <x:c r="H19" s="41"/>
      <x:c r="I19" s="41"/>
      <x:c r="J19" s="41"/>
    </x:row>
    <x:row r="21">
      <x:c r="A21" s="45" t="str">
        <x:v>Responsible-use notes</x:v>
      </x:c>
      <x:c r="B21" s="45"/>
      <x:c r="C21" s="45"/>
      <x:c r="D21" s="45"/>
      <x:c r="E21" s="45"/>
      <x:c r="F21" s="45"/>
      <x:c r="G21" s="45"/>
      <x:c r="H21" s="45"/>
      <x:c r="I21" s="45"/>
      <x:c r="J21" s="45"/>
    </x:row>
    <x:row r="22" ht="24" customHeight="1">
      <x:c r="A22" s="49" t="str">
        <x:v>Verify that each vacancy is still open before applying.</x:v>
      </x:c>
      <x:c r="B22" s="49"/>
      <x:c r="C22" s="49"/>
      <x:c r="D22" s="49"/>
      <x:c r="E22" s="49"/>
      <x:c r="F22" s="49"/>
      <x:c r="G22" s="49"/>
      <x:c r="H22" s="49"/>
      <x:c r="I22" s="49"/>
      <x:c r="J22" s="49"/>
    </x:row>
    <x:row r="23" ht="24" customHeight="1">
      <x:c r="A23" s="49" t="str">
        <x:v>Keep application submission and recruiter outreach manual.</x:v>
      </x:c>
      <x:c r="B23" s="49"/>
      <x:c r="C23" s="49"/>
      <x:c r="D23" s="49"/>
      <x:c r="E23" s="49"/>
      <x:c r="F23" s="49"/>
      <x:c r="G23" s="49"/>
      <x:c r="H23" s="49"/>
      <x:c r="I23" s="49"/>
      <x:c r="J23" s="49"/>
    </x:row>
    <x:row r="24" ht="24" customHeight="1">
      <x:c r="A24" s="49" t="str">
        <x:v>Store personal CV, contact, and immigration details outside a public repository.</x:v>
      </x:c>
      <x:c r="B24" s="49"/>
      <x:c r="C24" s="49"/>
      <x:c r="D24" s="49"/>
      <x:c r="E24" s="49"/>
      <x:c r="F24" s="49"/>
      <x:c r="G24" s="49"/>
      <x:c r="H24" s="49"/>
      <x:c r="I24" s="49"/>
      <x:c r="J24" s="49"/>
    </x:row>
  </x:sheetData>
  <x:mergeCells>
    <x:mergeCell ref="A1:J1"/>
    <x:mergeCell ref="A2:J2"/>
    <x:mergeCell ref="A4:B4"/>
    <x:mergeCell ref="C4:D4"/>
    <x:mergeCell ref="E4:F4"/>
    <x:mergeCell ref="G4:H4"/>
    <x:mergeCell ref="I4:J4"/>
    <x:mergeCell ref="A5:B5"/>
    <x:mergeCell ref="C5:D5"/>
    <x:mergeCell ref="E5:F5"/>
    <x:mergeCell ref="G5:H5"/>
    <x:mergeCell ref="I5:J5"/>
    <x:mergeCell ref="A7:C7"/>
    <x:mergeCell ref="E7:G7"/>
    <x:mergeCell ref="I7:J7"/>
    <x:mergeCell ref="A15:J15"/>
    <x:mergeCell ref="C16:J16"/>
    <x:mergeCell ref="C17:J17"/>
    <x:mergeCell ref="C18:J18"/>
    <x:mergeCell ref="C19:J19"/>
    <x:mergeCell ref="A21:J21"/>
    <x:mergeCell ref="A22:J22"/>
    <x:mergeCell ref="A23:J23"/>
    <x:mergeCell ref="A24:J24"/>
  </x:mergeCells>
  <x:conditionalFormatting sqref="A9:A11">
    <x:cfRule type="containsText" dxfId="9" priority="1" operator="containsText" text="Today"/>
  </x:conditionalFormatting>
  <x:conditionalFormatting sqref="E9:E12">
    <x:cfRule type="containsText" dxfId="10" priority="2" operator="containsText" text="Apply immediately"/>
    <x:cfRule type="containsText" dxfId="11" priority="3" operator="containsText" text="Strong option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22" hidden="0" customWidth="1"/>
    <x:col min="3" max="3" width="28" hidden="0" customWidth="1"/>
    <x:col min="4" max="4" width="20" hidden="0" customWidth="1"/>
    <x:col min="5" max="5" width="13" hidden="0" customWidth="1"/>
    <x:col min="6" max="6" width="31" hidden="0" customWidth="1"/>
    <x:col min="7" max="7" width="14" hidden="0" customWidth="1"/>
    <x:col min="8" max="8" width="14" hidden="0" customWidth="1"/>
    <x:col min="9" max="9" width="11" hidden="0" customWidth="1"/>
    <x:col min="10" max="10" width="15" hidden="0" customWidth="1"/>
    <x:col min="11" max="11" width="12" hidden="0" customWidth="1"/>
    <x:col min="12" max="12" width="20" hidden="0" customWidth="1"/>
    <x:col min="13" max="13" width="18" hidden="0" customWidth="1"/>
    <x:col min="14" max="14" width="15" hidden="0" customWidth="1"/>
    <x:col min="15" max="15" width="31" hidden="0" customWidth="1"/>
    <x:col min="16" max="16" width="36" hidden="0" customWidth="1"/>
    <x:col min="17" max="17" width="17" hidden="0" customWidth="1"/>
  </x:cols>
  <x:sheetData>
    <x:row r="1" ht="36" customHeight="1">
      <x:c r="A1" s="11" t="str">
        <x:v>Date discovered</x:v>
      </x:c>
      <x:c r="B1" s="12" t="str">
        <x:v>Employer</x:v>
      </x:c>
      <x:c r="C1" s="12" t="str">
        <x:v>Job title</x:v>
      </x:c>
      <x:c r="D1" s="12" t="str">
        <x:v>Location</x:v>
      </x:c>
      <x:c r="E1" s="12" t="str">
        <x:v>Work mode</x:v>
      </x:c>
      <x:c r="F1" s="12" t="str">
        <x:v>Application URL</x:v>
      </x:c>
      <x:c r="G1" s="12" t="str">
        <x:v>Posting date</x:v>
      </x:c>
      <x:c r="H1" s="12" t="str">
        <x:v>Closing date</x:v>
      </x:c>
      <x:c r="I1" s="12" t="str">
        <x:v>Days open</x:v>
      </x:c>
      <x:c r="J1" s="12" t="str">
        <x:v>Freshness</x:v>
      </x:c>
      <x:c r="K1" s="12" t="str">
        <x:v>Match score</x:v>
      </x:c>
      <x:c r="L1" s="12" t="str">
        <x:v>Priority</x:v>
      </x:c>
      <x:c r="M1" s="12" t="str">
        <x:v>Status</x:v>
      </x:c>
      <x:c r="N1" s="12" t="str">
        <x:v>Salary (EUR)</x:v>
      </x:c>
      <x:c r="O1" s="12" t="str">
        <x:v>Source URL</x:v>
      </x:c>
      <x:c r="P1" s="12" t="str">
        <x:v>Notes</x:v>
      </x:c>
      <x:c r="Q1" s="13" t="str">
        <x:v>Duplicate check</x:v>
      </x:c>
    </x:row>
    <x:row r="2" ht="30" customHeight="1">
      <x:c r="A2" s="21" t="n">
        <x:v>46252</x:v>
      </x:c>
      <x:c r="B2" s="22" t="str">
        <x:v>Northstar Data Labs</x:v>
      </x:c>
      <x:c r="C2" s="22" t="str">
        <x:v>Junior Data Analyst</x:v>
      </x:c>
      <x:c r="D2" s="22" t="str">
        <x:v>Galway, Ireland</x:v>
      </x:c>
      <x:c r="E2" s="22" t="str">
        <x:v>Hybrid</x:v>
      </x:c>
      <x:c r="F2" s="22" t="str">
        <x:v>https://example.com/jobs/northstar-data-analyst</x:v>
      </x:c>
      <x:c r="G2" s="21" t="n">
        <x:v>46252</x:v>
      </x:c>
      <x:c r="H2" s="21" t="n">
        <x:v>46261</x:v>
      </x:c>
      <x:c r="I2" s="23" t="n">
        <x:f>IF(A2="","",MAX(0,TODAY()-A2))</x:f>
        <x:v>0</x:v>
      </x:c>
      <x:c r="J2" s="22" t="str">
        <x:f>IF(A2="","",IF(TODAY()-A2&lt;=1,"Today",IF(TODAY()-A2&lt;=7,"Last 7 days","Older")))</x:f>
        <x:v>Today</x:v>
      </x:c>
      <x:c r="K2" s="23" t="n">
        <x:v>92</x:v>
      </x:c>
      <x:c r="L2" s="22" t="str">
        <x:v>Apply immediately</x:v>
      </x:c>
      <x:c r="M2" s="22" t="str">
        <x:v>Open</x:v>
      </x:c>
      <x:c r="N2" s="24" t="n">
        <x:v>42000</x:v>
      </x:c>
      <x:c r="O2" s="22" t="str">
        <x:v>https://example.com/jobs/northstar-data-analyst</x:v>
      </x:c>
      <x:c r="P2" s="22" t="str">
        <x:v>Fictional role used only to demonstrate the tracker.</x:v>
      </x:c>
      <x:c r="Q2" s="22" t="str">
        <x:f>IF(OR(B2="",C2="",F2=""),"",IF(COUNTIFS($B$2:B2,B2,$C$2:C2,C2,$F$2:F2,F2)&gt;1,"Duplicate",""))</x:f>
      </x:c>
    </x:row>
    <x:row r="3" ht="30" customHeight="1">
      <x:c r="A3" s="21" t="n">
        <x:v>46251</x:v>
      </x:c>
      <x:c r="B3" s="22" t="str">
        <x:v>Greenline Analytics</x:v>
      </x:c>
      <x:c r="C3" s="22" t="str">
        <x:v>BI Analyst</x:v>
      </x:c>
      <x:c r="D3" s="22" t="str">
        <x:v>Dublin, Ireland</x:v>
      </x:c>
      <x:c r="E3" s="22" t="str">
        <x:v>Remote</x:v>
      </x:c>
      <x:c r="F3" s="22" t="str">
        <x:v>https://example.com/jobs/greenline-bi-analyst</x:v>
      </x:c>
      <x:c r="G3" s="21" t="n">
        <x:v>46250</x:v>
      </x:c>
      <x:c r="H3" s="21" t="n">
        <x:v>46264</x:v>
      </x:c>
      <x:c r="I3" s="23" t="n">
        <x:f>IF(A3="","",MAX(0,TODAY()-A3))</x:f>
        <x:v>1</x:v>
      </x:c>
      <x:c r="J3" s="22" t="str">
        <x:f>IF(A3="","",IF(TODAY()-A3&lt;=1,"Today",IF(TODAY()-A3&lt;=7,"Last 7 days","Older")))</x:f>
        <x:v>Today</x:v>
      </x:c>
      <x:c r="K3" s="23" t="n">
        <x:v>88</x:v>
      </x:c>
      <x:c r="L3" s="22" t="str">
        <x:v>Strong option</x:v>
      </x:c>
      <x:c r="M3" s="22" t="str">
        <x:v>Saved</x:v>
      </x:c>
      <x:c r="N3" s="24" t="n">
        <x:v>50000</x:v>
      </x:c>
      <x:c r="O3" s="22" t="str">
        <x:v>https://example.com/jobs/greenline-bi-analyst</x:v>
      </x:c>
      <x:c r="P3" s="22" t="str">
        <x:v>Fictional role with strong SQL and dashboard alignment.</x:v>
      </x:c>
      <x:c r="Q3" s="22" t="str">
        <x:f>IF(OR(B3="",C3="",F3=""),"",IF(COUNTIFS($B$2:B3,B3,$C$2:C3,C3,$F$2:F3,F3)&gt;1,"Duplicate",""))</x:f>
      </x:c>
    </x:row>
    <x:row r="4" ht="30" customHeight="1">
      <x:c r="A4" s="21" t="n">
        <x:v>46250</x:v>
      </x:c>
      <x:c r="B4" s="22" t="str">
        <x:v>Harbour Insight</x:v>
      </x:c>
      <x:c r="C4" s="22" t="str">
        <x:v>Reporting Analyst</x:v>
      </x:c>
      <x:c r="D4" s="22" t="str">
        <x:v>Cork, Ireland</x:v>
      </x:c>
      <x:c r="E4" s="22" t="str">
        <x:v>Hybrid</x:v>
      </x:c>
      <x:c r="F4" s="22" t="str">
        <x:v>https://example.com/jobs/harbour-reporting</x:v>
      </x:c>
      <x:c r="G4" s="21" t="n">
        <x:v>46248</x:v>
      </x:c>
      <x:c r="H4" s="21" t="n">
        <x:v>46257</x:v>
      </x:c>
      <x:c r="I4" s="23" t="n">
        <x:f>IF(A4="","",MAX(0,TODAY()-A4))</x:f>
        <x:v>2</x:v>
      </x:c>
      <x:c r="J4" s="22" t="str">
        <x:f>IF(A4="","",IF(TODAY()-A4&lt;=1,"Today",IF(TODAY()-A4&lt;=7,"Last 7 days","Older")))</x:f>
        <x:v>Last 7 days</x:v>
      </x:c>
      <x:c r="K4" s="23" t="n">
        <x:v>81</x:v>
      </x:c>
      <x:c r="L4" s="22" t="str">
        <x:v>Strong option</x:v>
      </x:c>
      <x:c r="M4" s="22" t="str">
        <x:v>Applied</x:v>
      </x:c>
      <x:c r="N4" s="24" t="n">
        <x:v>46000</x:v>
      </x:c>
      <x:c r="O4" s="22" t="str">
        <x:v>https://example.com/jobs/harbour-reporting</x:v>
      </x:c>
      <x:c r="P4" s="22" t="str">
        <x:v>Fictional role already marked as applied.</x:v>
      </x:c>
      <x:c r="Q4" s="22" t="str">
        <x:f>IF(OR(B4="",C4="",F4=""),"",IF(COUNTIFS($B$2:B4,B4,$C$2:C4,C4,$F$2:F4,F4)&gt;1,"Duplicate",""))</x:f>
      </x:c>
    </x:row>
    <x:row r="5" ht="30" customHeight="1">
      <x:c r="A5" s="21" t="n">
        <x:v>46248</x:v>
      </x:c>
      <x:c r="B5" s="22" t="str">
        <x:v>Meridian Works</x:v>
      </x:c>
      <x:c r="C5" s="22" t="str">
        <x:v>Business Analyst</x:v>
      </x:c>
      <x:c r="D5" s="22" t="str">
        <x:v>Limerick, Ireland</x:v>
      </x:c>
      <x:c r="E5" s="22" t="str">
        <x:v>On-site</x:v>
      </x:c>
      <x:c r="F5" s="22" t="str">
        <x:v>https://example.com/jobs/meridian-business-analyst</x:v>
      </x:c>
      <x:c r="G5" s="21" t="n">
        <x:v>46246</x:v>
      </x:c>
      <x:c r="H5" s="21" t="n">
        <x:v>46269</x:v>
      </x:c>
      <x:c r="I5" s="23" t="n">
        <x:f>IF(A5="","",MAX(0,TODAY()-A5))</x:f>
        <x:v>4</x:v>
      </x:c>
      <x:c r="J5" s="22" t="str">
        <x:f>IF(A5="","",IF(TODAY()-A5&lt;=1,"Today",IF(TODAY()-A5&lt;=7,"Last 7 days","Older")))</x:f>
        <x:v>Last 7 days</x:v>
      </x:c>
      <x:c r="K5" s="23" t="n">
        <x:v>76</x:v>
      </x:c>
      <x:c r="L5" s="22" t="str">
        <x:v>Possible option</x:v>
      </x:c>
      <x:c r="M5" s="22" t="str">
        <x:v>Open</x:v>
      </x:c>
      <x:c r="N5" s="24" t="n">
        <x:v>48000</x:v>
      </x:c>
      <x:c r="O5" s="22" t="str">
        <x:v>https://example.com/jobs/meridian-business-analyst</x:v>
      </x:c>
      <x:c r="P5" s="22" t="str">
        <x:v>Fictional role requiring further domain-fit review.</x:v>
      </x:c>
      <x:c r="Q5" s="22" t="str">
        <x:f>IF(OR(B5="",C5="",F5=""),"",IF(COUNTIFS($B$2:B5,B5,$C$2:C5,C5,$F$2:F5,F5)&gt;1,"Duplicate",""))</x:f>
      </x:c>
    </x:row>
    <x:row r="6" ht="30" customHeight="1">
      <x:c r="A6" s="21" t="n">
        <x:v>46244</x:v>
      </x:c>
      <x:c r="B6" s="22" t="str">
        <x:v>Atlas BI Studio</x:v>
      </x:c>
      <x:c r="C6" s="22" t="str">
        <x:v>Power BI Developer</x:v>
      </x:c>
      <x:c r="D6" s="22" t="str">
        <x:v>Kildare, Ireland</x:v>
      </x:c>
      <x:c r="E6" s="22" t="str">
        <x:v>Flexible</x:v>
      </x:c>
      <x:c r="F6" s="22" t="str">
        <x:v>https://example.com/jobs/atlas-power-bi</x:v>
      </x:c>
      <x:c r="G6" s="21" t="n">
        <x:v>46242</x:v>
      </x:c>
      <x:c r="H6" s="21" t="n">
        <x:v>46255</x:v>
      </x:c>
      <x:c r="I6" s="23" t="n">
        <x:f>IF(A6="","",MAX(0,TODAY()-A6))</x:f>
        <x:v>8</x:v>
      </x:c>
      <x:c r="J6" s="22" t="str">
        <x:f>IF(A6="","",IF(TODAY()-A6&lt;=1,"Today",IF(TODAY()-A6&lt;=7,"Last 7 days","Older")))</x:f>
        <x:v>Older</x:v>
      </x:c>
      <x:c r="K6" s="23" t="n">
        <x:v>85</x:v>
      </x:c>
      <x:c r="L6" s="22" t="str">
        <x:v>Apply immediately</x:v>
      </x:c>
      <x:c r="M6" s="22" t="str">
        <x:v>Interview</x:v>
      </x:c>
      <x:c r="N6" s="24" t="n">
        <x:v>56000</x:v>
      </x:c>
      <x:c r="O6" s="22" t="str">
        <x:v>https://example.com/jobs/atlas-power-bi</x:v>
      </x:c>
      <x:c r="P6" s="22" t="str">
        <x:v>Fictional role demonstrating an interview-stage application.</x:v>
      </x:c>
      <x:c r="Q6" s="22" t="str">
        <x:f>IF(OR(B6="",C6="",F6=""),"",IF(COUNTIFS($B$2:B6,B6,$C$2:C6,C6,$F$2:F6,F6)&gt;1,"Duplicate",""))</x:f>
      </x:c>
    </x:row>
    <x:row r="7" ht="30" customHeight="1">
      <x:c r="A7" s="21" t="n">
        <x:v>46239</x:v>
      </x:c>
      <x:c r="B7" s="22" t="str">
        <x:v>Fernway Systems</x:v>
      </x:c>
      <x:c r="C7" s="22" t="str">
        <x:v>Data Quality Analyst</x:v>
      </x:c>
      <x:c r="D7" s="22" t="str">
        <x:v>Waterford, Ireland</x:v>
      </x:c>
      <x:c r="E7" s="22" t="str">
        <x:v>Remote</x:v>
      </x:c>
      <x:c r="F7" s="22" t="str">
        <x:v>https://example.com/jobs/fernway-data-quality</x:v>
      </x:c>
      <x:c r="G7" s="21" t="n">
        <x:v>46237</x:v>
      </x:c>
      <x:c r="H7" s="21" t="n">
        <x:v>46275</x:v>
      </x:c>
      <x:c r="I7" s="23" t="n">
        <x:f>IF(A7="","",MAX(0,TODAY()-A7))</x:f>
        <x:v>13</x:v>
      </x:c>
      <x:c r="J7" s="22" t="str">
        <x:f>IF(A7="","",IF(TODAY()-A7&lt;=1,"Today",IF(TODAY()-A7&lt;=7,"Last 7 days","Older")))</x:f>
        <x:v>Older</x:v>
      </x:c>
      <x:c r="K7" s="23" t="n">
        <x:v>68</x:v>
      </x:c>
      <x:c r="L7" s="22" t="str">
        <x:v>Low priority</x:v>
      </x:c>
      <x:c r="M7" s="22" t="str">
        <x:v>Needs verification</x:v>
      </x:c>
      <x:c r="N7" s="24" t="n">
        <x:v>44000</x:v>
      </x:c>
      <x:c r="O7" s="22" t="str">
        <x:v>https://example.com/jobs/fernway-data-quality</x:v>
      </x:c>
      <x:c r="P7" s="22" t="str">
        <x:v>Fictional role awaiting source verification.</x:v>
      </x:c>
      <x:c r="Q7" s="22" t="str">
        <x:f>IF(OR(B7="",C7="",F7=""),"",IF(COUNTIFS($B$2:B7,B7,$C$2:C7,C7,$F$2:F7,F7)&gt;1,"Duplicate",""))</x:f>
      </x:c>
    </x:row>
    <x:row r="8" ht="30" customHeight="1">
      <x:c r="A8" s="21"/>
      <x:c r="B8" s="22"/>
      <x:c r="C8" s="22"/>
      <x:c r="D8" s="22"/>
      <x:c r="E8" s="22"/>
      <x:c r="F8" s="22"/>
      <x:c r="G8" s="21"/>
      <x:c r="H8" s="21"/>
      <x:c r="I8" s="23" t="str">
        <x:f>IF(A8="","",MAX(0,TODAY()-A8))</x:f>
      </x:c>
      <x:c r="J8" s="22" t="str">
        <x:f>IF(A8="","",IF(TODAY()-A8&lt;=1,"Today",IF(TODAY()-A8&lt;=7,"Last 7 days","Older")))</x:f>
      </x:c>
      <x:c r="K8" s="23"/>
      <x:c r="L8" s="22"/>
      <x:c r="M8" s="22"/>
      <x:c r="N8" s="24"/>
      <x:c r="O8" s="22"/>
      <x:c r="P8" s="22"/>
      <x:c r="Q8" s="22" t="str">
        <x:f>IF(OR(B8="",C8="",F8=""),"",IF(COUNTIFS($B$2:B8,B8,$C$2:C8,C8,$F$2:F8,F8)&gt;1,"Duplicate",""))</x:f>
      </x:c>
    </x:row>
    <x:row r="9" ht="30" customHeight="1">
      <x:c r="A9" s="21"/>
      <x:c r="B9" s="22"/>
      <x:c r="C9" s="22"/>
      <x:c r="D9" s="22"/>
      <x:c r="E9" s="22"/>
      <x:c r="F9" s="22"/>
      <x:c r="G9" s="21"/>
      <x:c r="H9" s="21"/>
      <x:c r="I9" s="23" t="str">
        <x:f>IF(A9="","",MAX(0,TODAY()-A9))</x:f>
      </x:c>
      <x:c r="J9" s="22" t="str">
        <x:f>IF(A9="","",IF(TODAY()-A9&lt;=1,"Today",IF(TODAY()-A9&lt;=7,"Last 7 days","Older")))</x:f>
      </x:c>
      <x:c r="K9" s="23"/>
      <x:c r="L9" s="22"/>
      <x:c r="M9" s="22"/>
      <x:c r="N9" s="24"/>
      <x:c r="O9" s="22"/>
      <x:c r="P9" s="22"/>
      <x:c r="Q9" s="22" t="str">
        <x:f>IF(OR(B9="",C9="",F9=""),"",IF(COUNTIFS($B$2:B9,B9,$C$2:C9,C9,$F$2:F9,F9)&gt;1,"Duplicate",""))</x:f>
      </x:c>
    </x:row>
    <x:row r="10" ht="30" customHeight="1">
      <x:c r="A10" s="21"/>
      <x:c r="B10" s="22"/>
      <x:c r="C10" s="22"/>
      <x:c r="D10" s="22"/>
      <x:c r="E10" s="22"/>
      <x:c r="F10" s="22"/>
      <x:c r="G10" s="21"/>
      <x:c r="H10" s="21"/>
      <x:c r="I10" s="23" t="str">
        <x:f>IF(A10="","",MAX(0,TODAY()-A10))</x:f>
      </x:c>
      <x:c r="J10" s="22" t="str">
        <x:f>IF(A10="","",IF(TODAY()-A10&lt;=1,"Today",IF(TODAY()-A10&lt;=7,"Last 7 days","Older")))</x:f>
      </x:c>
      <x:c r="K10" s="23"/>
      <x:c r="L10" s="22"/>
      <x:c r="M10" s="22"/>
      <x:c r="N10" s="24"/>
      <x:c r="O10" s="22"/>
      <x:c r="P10" s="22"/>
      <x:c r="Q10" s="22" t="str">
        <x:f>IF(OR(B10="",C10="",F10=""),"",IF(COUNTIFS($B$2:B10,B10,$C$2:C10,C10,$F$2:F10,F10)&gt;1,"Duplicate",""))</x:f>
      </x:c>
    </x:row>
    <x:row r="11" ht="30" customHeight="1">
      <x:c r="A11" s="21"/>
      <x:c r="B11" s="22"/>
      <x:c r="C11" s="22"/>
      <x:c r="D11" s="22"/>
      <x:c r="E11" s="22"/>
      <x:c r="F11" s="22"/>
      <x:c r="G11" s="21"/>
      <x:c r="H11" s="21"/>
      <x:c r="I11" s="23" t="str">
        <x:f>IF(A11="","",MAX(0,TODAY()-A11))</x:f>
      </x:c>
      <x:c r="J11" s="22" t="str">
        <x:f>IF(A11="","",IF(TODAY()-A11&lt;=1,"Today",IF(TODAY()-A11&lt;=7,"Last 7 days","Older")))</x:f>
      </x:c>
      <x:c r="K11" s="23"/>
      <x:c r="L11" s="22"/>
      <x:c r="M11" s="22"/>
      <x:c r="N11" s="24"/>
      <x:c r="O11" s="22"/>
      <x:c r="P11" s="22"/>
      <x:c r="Q11" s="22" t="str">
        <x:f>IF(OR(B11="",C11="",F11=""),"",IF(COUNTIFS($B$2:B11,B11,$C$2:C11,C11,$F$2:F11,F11)&gt;1,"Duplicate",""))</x:f>
      </x:c>
    </x:row>
    <x:row r="12" ht="30" customHeight="1">
      <x:c r="A12" s="21"/>
      <x:c r="B12" s="22"/>
      <x:c r="C12" s="22"/>
      <x:c r="D12" s="22"/>
      <x:c r="E12" s="22"/>
      <x:c r="F12" s="22"/>
      <x:c r="G12" s="21"/>
      <x:c r="H12" s="21"/>
      <x:c r="I12" s="23" t="str">
        <x:f>IF(A12="","",MAX(0,TODAY()-A12))</x:f>
      </x:c>
      <x:c r="J12" s="22" t="str">
        <x:f>IF(A12="","",IF(TODAY()-A12&lt;=1,"Today",IF(TODAY()-A12&lt;=7,"Last 7 days","Older")))</x:f>
      </x:c>
      <x:c r="K12" s="23"/>
      <x:c r="L12" s="22"/>
      <x:c r="M12" s="22"/>
      <x:c r="N12" s="24"/>
      <x:c r="O12" s="22"/>
      <x:c r="P12" s="22"/>
      <x:c r="Q12" s="22" t="str">
        <x:f>IF(OR(B12="",C12="",F12=""),"",IF(COUNTIFS($B$2:B12,B12,$C$2:C12,C12,$F$2:F12,F12)&gt;1,"Duplicate",""))</x:f>
      </x:c>
    </x:row>
    <x:row r="13" ht="30" customHeight="1">
      <x:c r="A13" s="21"/>
      <x:c r="B13" s="22"/>
      <x:c r="C13" s="22"/>
      <x:c r="D13" s="22"/>
      <x:c r="E13" s="22"/>
      <x:c r="F13" s="22"/>
      <x:c r="G13" s="21"/>
      <x:c r="H13" s="21"/>
      <x:c r="I13" s="23" t="str">
        <x:f>IF(A13="","",MAX(0,TODAY()-A13))</x:f>
      </x:c>
      <x:c r="J13" s="22" t="str">
        <x:f>IF(A13="","",IF(TODAY()-A13&lt;=1,"Today",IF(TODAY()-A13&lt;=7,"Last 7 days","Older")))</x:f>
      </x:c>
      <x:c r="K13" s="23"/>
      <x:c r="L13" s="22"/>
      <x:c r="M13" s="22"/>
      <x:c r="N13" s="24"/>
      <x:c r="O13" s="22"/>
      <x:c r="P13" s="22"/>
      <x:c r="Q13" s="22" t="str">
        <x:f>IF(OR(B13="",C13="",F13=""),"",IF(COUNTIFS($B$2:B13,B13,$C$2:C13,C13,$F$2:F13,F13)&gt;1,"Duplicate",""))</x:f>
      </x:c>
    </x:row>
    <x:row r="14" ht="30" customHeight="1">
      <x:c r="A14" s="21"/>
      <x:c r="B14" s="22"/>
      <x:c r="C14" s="22"/>
      <x:c r="D14" s="22"/>
      <x:c r="E14" s="22"/>
      <x:c r="F14" s="22"/>
      <x:c r="G14" s="21"/>
      <x:c r="H14" s="21"/>
      <x:c r="I14" s="23" t="str">
        <x:f>IF(A14="","",MAX(0,TODAY()-A14))</x:f>
      </x:c>
      <x:c r="J14" s="22" t="str">
        <x:f>IF(A14="","",IF(TODAY()-A14&lt;=1,"Today",IF(TODAY()-A14&lt;=7,"Last 7 days","Older")))</x:f>
      </x:c>
      <x:c r="K14" s="23"/>
      <x:c r="L14" s="22"/>
      <x:c r="M14" s="22"/>
      <x:c r="N14" s="24"/>
      <x:c r="O14" s="22"/>
      <x:c r="P14" s="22"/>
      <x:c r="Q14" s="22" t="str">
        <x:f>IF(OR(B14="",C14="",F14=""),"",IF(COUNTIFS($B$2:B14,B14,$C$2:C14,C14,$F$2:F14,F14)&gt;1,"Duplicate",""))</x:f>
      </x:c>
    </x:row>
    <x:row r="15" ht="30" customHeight="1">
      <x:c r="A15" s="21"/>
      <x:c r="B15" s="22"/>
      <x:c r="C15" s="22"/>
      <x:c r="D15" s="22"/>
      <x:c r="E15" s="22"/>
      <x:c r="F15" s="22"/>
      <x:c r="G15" s="21"/>
      <x:c r="H15" s="21"/>
      <x:c r="I15" s="23" t="str">
        <x:f>IF(A15="","",MAX(0,TODAY()-A15))</x:f>
      </x:c>
      <x:c r="J15" s="22" t="str">
        <x:f>IF(A15="","",IF(TODAY()-A15&lt;=1,"Today",IF(TODAY()-A15&lt;=7,"Last 7 days","Older")))</x:f>
      </x:c>
      <x:c r="K15" s="23"/>
      <x:c r="L15" s="22"/>
      <x:c r="M15" s="22"/>
      <x:c r="N15" s="24"/>
      <x:c r="O15" s="22"/>
      <x:c r="P15" s="22"/>
      <x:c r="Q15" s="22" t="str">
        <x:f>IF(OR(B15="",C15="",F15=""),"",IF(COUNTIFS($B$2:B15,B15,$C$2:C15,C15,$F$2:F15,F15)&gt;1,"Duplicate",""))</x:f>
      </x:c>
    </x:row>
    <x:row r="16" ht="30" customHeight="1">
      <x:c r="A16" s="21"/>
      <x:c r="B16" s="22"/>
      <x:c r="C16" s="22"/>
      <x:c r="D16" s="22"/>
      <x:c r="E16" s="22"/>
      <x:c r="F16" s="22"/>
      <x:c r="G16" s="21"/>
      <x:c r="H16" s="21"/>
      <x:c r="I16" s="23" t="str">
        <x:f>IF(A16="","",MAX(0,TODAY()-A16))</x:f>
      </x:c>
      <x:c r="J16" s="22" t="str">
        <x:f>IF(A16="","",IF(TODAY()-A16&lt;=1,"Today",IF(TODAY()-A16&lt;=7,"Last 7 days","Older")))</x:f>
      </x:c>
      <x:c r="K16" s="23"/>
      <x:c r="L16" s="22"/>
      <x:c r="M16" s="22"/>
      <x:c r="N16" s="24"/>
      <x:c r="O16" s="22"/>
      <x:c r="P16" s="22"/>
      <x:c r="Q16" s="22" t="str">
        <x:f>IF(OR(B16="",C16="",F16=""),"",IF(COUNTIFS($B$2:B16,B16,$C$2:C16,C16,$F$2:F16,F16)&gt;1,"Duplicate",""))</x:f>
      </x:c>
    </x:row>
    <x:row r="17" ht="30" customHeight="1">
      <x:c r="A17" s="21"/>
      <x:c r="B17" s="22"/>
      <x:c r="C17" s="22"/>
      <x:c r="D17" s="22"/>
      <x:c r="E17" s="22"/>
      <x:c r="F17" s="22"/>
      <x:c r="G17" s="21"/>
      <x:c r="H17" s="21"/>
      <x:c r="I17" s="23" t="str">
        <x:f>IF(A17="","",MAX(0,TODAY()-A17))</x:f>
      </x:c>
      <x:c r="J17" s="22" t="str">
        <x:f>IF(A17="","",IF(TODAY()-A17&lt;=1,"Today",IF(TODAY()-A17&lt;=7,"Last 7 days","Older")))</x:f>
      </x:c>
      <x:c r="K17" s="23"/>
      <x:c r="L17" s="22"/>
      <x:c r="M17" s="22"/>
      <x:c r="N17" s="24"/>
      <x:c r="O17" s="22"/>
      <x:c r="P17" s="22"/>
      <x:c r="Q17" s="22" t="str">
        <x:f>IF(OR(B17="",C17="",F17=""),"",IF(COUNTIFS($B$2:B17,B17,$C$2:C17,C17,$F$2:F17,F17)&gt;1,"Duplicate",""))</x:f>
      </x:c>
    </x:row>
    <x:row r="18" ht="30" customHeight="1">
      <x:c r="A18" s="21"/>
      <x:c r="B18" s="22"/>
      <x:c r="C18" s="22"/>
      <x:c r="D18" s="22"/>
      <x:c r="E18" s="22"/>
      <x:c r="F18" s="22"/>
      <x:c r="G18" s="21"/>
      <x:c r="H18" s="21"/>
      <x:c r="I18" s="23" t="str">
        <x:f>IF(A18="","",MAX(0,TODAY()-A18))</x:f>
      </x:c>
      <x:c r="J18" s="22" t="str">
        <x:f>IF(A18="","",IF(TODAY()-A18&lt;=1,"Today",IF(TODAY()-A18&lt;=7,"Last 7 days","Older")))</x:f>
      </x:c>
      <x:c r="K18" s="23"/>
      <x:c r="L18" s="22"/>
      <x:c r="M18" s="22"/>
      <x:c r="N18" s="24"/>
      <x:c r="O18" s="22"/>
      <x:c r="P18" s="22"/>
      <x:c r="Q18" s="22" t="str">
        <x:f>IF(OR(B18="",C18="",F18=""),"",IF(COUNTIFS($B$2:B18,B18,$C$2:C18,C18,$F$2:F18,F18)&gt;1,"Duplicate",""))</x:f>
      </x:c>
    </x:row>
    <x:row r="19" ht="30" customHeight="1">
      <x:c r="A19" s="21"/>
      <x:c r="B19" s="22"/>
      <x:c r="C19" s="22"/>
      <x:c r="D19" s="22"/>
      <x:c r="E19" s="22"/>
      <x:c r="F19" s="22"/>
      <x:c r="G19" s="21"/>
      <x:c r="H19" s="21"/>
      <x:c r="I19" s="23" t="str">
        <x:f>IF(A19="","",MAX(0,TODAY()-A19))</x:f>
      </x:c>
      <x:c r="J19" s="22" t="str">
        <x:f>IF(A19="","",IF(TODAY()-A19&lt;=1,"Today",IF(TODAY()-A19&lt;=7,"Last 7 days","Older")))</x:f>
      </x:c>
      <x:c r="K19" s="23"/>
      <x:c r="L19" s="22"/>
      <x:c r="M19" s="22"/>
      <x:c r="N19" s="24"/>
      <x:c r="O19" s="22"/>
      <x:c r="P19" s="22"/>
      <x:c r="Q19" s="22" t="str">
        <x:f>IF(OR(B19="",C19="",F19=""),"",IF(COUNTIFS($B$2:B19,B19,$C$2:C19,C19,$F$2:F19,F19)&gt;1,"Duplicate",""))</x:f>
      </x:c>
    </x:row>
    <x:row r="20" ht="30" customHeight="1">
      <x:c r="A20" s="21"/>
      <x:c r="B20" s="22"/>
      <x:c r="C20" s="22"/>
      <x:c r="D20" s="22"/>
      <x:c r="E20" s="22"/>
      <x:c r="F20" s="22"/>
      <x:c r="G20" s="21"/>
      <x:c r="H20" s="21"/>
      <x:c r="I20" s="23" t="str">
        <x:f>IF(A20="","",MAX(0,TODAY()-A20))</x:f>
      </x:c>
      <x:c r="J20" s="22" t="str">
        <x:f>IF(A20="","",IF(TODAY()-A20&lt;=1,"Today",IF(TODAY()-A20&lt;=7,"Last 7 days","Older")))</x:f>
      </x:c>
      <x:c r="K20" s="23"/>
      <x:c r="L20" s="22"/>
      <x:c r="M20" s="22"/>
      <x:c r="N20" s="24"/>
      <x:c r="O20" s="22"/>
      <x:c r="P20" s="22"/>
      <x:c r="Q20" s="22" t="str">
        <x:f>IF(OR(B20="",C20="",F20=""),"",IF(COUNTIFS($B$2:B20,B20,$C$2:C20,C20,$F$2:F20,F20)&gt;1,"Duplicate",""))</x:f>
      </x:c>
    </x:row>
    <x:row r="21" ht="30" customHeight="1">
      <x:c r="A21" s="21"/>
      <x:c r="B21" s="22"/>
      <x:c r="C21" s="22"/>
      <x:c r="D21" s="22"/>
      <x:c r="E21" s="22"/>
      <x:c r="F21" s="22"/>
      <x:c r="G21" s="21"/>
      <x:c r="H21" s="21"/>
      <x:c r="I21" s="23" t="str">
        <x:f>IF(A21="","",MAX(0,TODAY()-A21))</x:f>
      </x:c>
      <x:c r="J21" s="22" t="str">
        <x:f>IF(A21="","",IF(TODAY()-A21&lt;=1,"Today",IF(TODAY()-A21&lt;=7,"Last 7 days","Older")))</x:f>
      </x:c>
      <x:c r="K21" s="23"/>
      <x:c r="L21" s="22"/>
      <x:c r="M21" s="22"/>
      <x:c r="N21" s="24"/>
      <x:c r="O21" s="22"/>
      <x:c r="P21" s="22"/>
      <x:c r="Q21" s="22" t="str">
        <x:f>IF(OR(B21="",C21="",F21=""),"",IF(COUNTIFS($B$2:B21,B21,$C$2:C21,C21,$F$2:F21,F21)&gt;1,"Duplicate",""))</x:f>
      </x:c>
    </x:row>
    <x:row r="22" ht="30" customHeight="1">
      <x:c r="A22" s="21"/>
      <x:c r="B22" s="22"/>
      <x:c r="C22" s="22"/>
      <x:c r="D22" s="22"/>
      <x:c r="E22" s="22"/>
      <x:c r="F22" s="22"/>
      <x:c r="G22" s="21"/>
      <x:c r="H22" s="21"/>
      <x:c r="I22" s="23" t="str">
        <x:f>IF(A22="","",MAX(0,TODAY()-A22))</x:f>
      </x:c>
      <x:c r="J22" s="22" t="str">
        <x:f>IF(A22="","",IF(TODAY()-A22&lt;=1,"Today",IF(TODAY()-A22&lt;=7,"Last 7 days","Older")))</x:f>
      </x:c>
      <x:c r="K22" s="23"/>
      <x:c r="L22" s="22"/>
      <x:c r="M22" s="22"/>
      <x:c r="N22" s="24"/>
      <x:c r="O22" s="22"/>
      <x:c r="P22" s="22"/>
      <x:c r="Q22" s="22" t="str">
        <x:f>IF(OR(B22="",C22="",F22=""),"",IF(COUNTIFS($B$2:B22,B22,$C$2:C22,C22,$F$2:F22,F22)&gt;1,"Duplicate",""))</x:f>
      </x:c>
    </x:row>
    <x:row r="23" ht="30" customHeight="1">
      <x:c r="A23" s="21"/>
      <x:c r="B23" s="22"/>
      <x:c r="C23" s="22"/>
      <x:c r="D23" s="22"/>
      <x:c r="E23" s="22"/>
      <x:c r="F23" s="22"/>
      <x:c r="G23" s="21"/>
      <x:c r="H23" s="21"/>
      <x:c r="I23" s="23" t="str">
        <x:f>IF(A23="","",MAX(0,TODAY()-A23))</x:f>
      </x:c>
      <x:c r="J23" s="22" t="str">
        <x:f>IF(A23="","",IF(TODAY()-A23&lt;=1,"Today",IF(TODAY()-A23&lt;=7,"Last 7 days","Older")))</x:f>
      </x:c>
      <x:c r="K23" s="23"/>
      <x:c r="L23" s="22"/>
      <x:c r="M23" s="22"/>
      <x:c r="N23" s="24"/>
      <x:c r="O23" s="22"/>
      <x:c r="P23" s="22"/>
      <x:c r="Q23" s="22" t="str">
        <x:f>IF(OR(B23="",C23="",F23=""),"",IF(COUNTIFS($B$2:B23,B23,$C$2:C23,C23,$F$2:F23,F23)&gt;1,"Duplicate",""))</x:f>
      </x:c>
    </x:row>
    <x:row r="24" ht="30" customHeight="1">
      <x:c r="A24" s="21"/>
      <x:c r="B24" s="22"/>
      <x:c r="C24" s="22"/>
      <x:c r="D24" s="22"/>
      <x:c r="E24" s="22"/>
      <x:c r="F24" s="22"/>
      <x:c r="G24" s="21"/>
      <x:c r="H24" s="21"/>
      <x:c r="I24" s="23" t="str">
        <x:f>IF(A24="","",MAX(0,TODAY()-A24))</x:f>
      </x:c>
      <x:c r="J24" s="22" t="str">
        <x:f>IF(A24="","",IF(TODAY()-A24&lt;=1,"Today",IF(TODAY()-A24&lt;=7,"Last 7 days","Older")))</x:f>
      </x:c>
      <x:c r="K24" s="23"/>
      <x:c r="L24" s="22"/>
      <x:c r="M24" s="22"/>
      <x:c r="N24" s="24"/>
      <x:c r="O24" s="22"/>
      <x:c r="P24" s="22"/>
      <x:c r="Q24" s="22" t="str">
        <x:f>IF(OR(B24="",C24="",F24=""),"",IF(COUNTIFS($B$2:B24,B24,$C$2:C24,C24,$F$2:F24,F24)&gt;1,"Duplicate",""))</x:f>
      </x:c>
    </x:row>
    <x:row r="25" ht="30" customHeight="1">
      <x:c r="A25" s="21"/>
      <x:c r="B25" s="22"/>
      <x:c r="C25" s="22"/>
      <x:c r="D25" s="22"/>
      <x:c r="E25" s="22"/>
      <x:c r="F25" s="22"/>
      <x:c r="G25" s="21"/>
      <x:c r="H25" s="21"/>
      <x:c r="I25" s="23" t="str">
        <x:f>IF(A25="","",MAX(0,TODAY()-A25))</x:f>
      </x:c>
      <x:c r="J25" s="22" t="str">
        <x:f>IF(A25="","",IF(TODAY()-A25&lt;=1,"Today",IF(TODAY()-A25&lt;=7,"Last 7 days","Older")))</x:f>
      </x:c>
      <x:c r="K25" s="23"/>
      <x:c r="L25" s="22"/>
      <x:c r="M25" s="22"/>
      <x:c r="N25" s="24"/>
      <x:c r="O25" s="22"/>
      <x:c r="P25" s="22"/>
      <x:c r="Q25" s="22" t="str">
        <x:f>IF(OR(B25="",C25="",F25=""),"",IF(COUNTIFS($B$2:B25,B25,$C$2:C25,C25,$F$2:F25,F25)&gt;1,"Duplicate",""))</x:f>
      </x:c>
    </x:row>
    <x:row r="26" ht="30" customHeight="1">
      <x:c r="A26" s="21"/>
      <x:c r="B26" s="22"/>
      <x:c r="C26" s="22"/>
      <x:c r="D26" s="22"/>
      <x:c r="E26" s="22"/>
      <x:c r="F26" s="22"/>
      <x:c r="G26" s="21"/>
      <x:c r="H26" s="21"/>
      <x:c r="I26" s="23" t="str">
        <x:f>IF(A26="","",MAX(0,TODAY()-A26))</x:f>
      </x:c>
      <x:c r="J26" s="22" t="str">
        <x:f>IF(A26="","",IF(TODAY()-A26&lt;=1,"Today",IF(TODAY()-A26&lt;=7,"Last 7 days","Older")))</x:f>
      </x:c>
      <x:c r="K26" s="23"/>
      <x:c r="L26" s="22"/>
      <x:c r="M26" s="22"/>
      <x:c r="N26" s="24"/>
      <x:c r="O26" s="22"/>
      <x:c r="P26" s="22"/>
      <x:c r="Q26" s="22" t="str">
        <x:f>IF(OR(B26="",C26="",F26=""),"",IF(COUNTIFS($B$2:B26,B26,$C$2:C26,C26,$F$2:F26,F26)&gt;1,"Duplicate",""))</x:f>
      </x:c>
    </x:row>
    <x:row r="27" ht="30" customHeight="1">
      <x:c r="A27" s="21"/>
      <x:c r="B27" s="22"/>
      <x:c r="C27" s="22"/>
      <x:c r="D27" s="22"/>
      <x:c r="E27" s="22"/>
      <x:c r="F27" s="22"/>
      <x:c r="G27" s="21"/>
      <x:c r="H27" s="21"/>
      <x:c r="I27" s="23" t="str">
        <x:f>IF(A27="","",MAX(0,TODAY()-A27))</x:f>
      </x:c>
      <x:c r="J27" s="22" t="str">
        <x:f>IF(A27="","",IF(TODAY()-A27&lt;=1,"Today",IF(TODAY()-A27&lt;=7,"Last 7 days","Older")))</x:f>
      </x:c>
      <x:c r="K27" s="23"/>
      <x:c r="L27" s="22"/>
      <x:c r="M27" s="22"/>
      <x:c r="N27" s="24"/>
      <x:c r="O27" s="22"/>
      <x:c r="P27" s="22"/>
      <x:c r="Q27" s="22" t="str">
        <x:f>IF(OR(B27="",C27="",F27=""),"",IF(COUNTIFS($B$2:B27,B27,$C$2:C27,C27,$F$2:F27,F27)&gt;1,"Duplicate",""))</x:f>
      </x:c>
    </x:row>
    <x:row r="28" ht="30" customHeight="1">
      <x:c r="A28" s="21"/>
      <x:c r="B28" s="22"/>
      <x:c r="C28" s="22"/>
      <x:c r="D28" s="22"/>
      <x:c r="E28" s="22"/>
      <x:c r="F28" s="22"/>
      <x:c r="G28" s="21"/>
      <x:c r="H28" s="21"/>
      <x:c r="I28" s="23" t="str">
        <x:f>IF(A28="","",MAX(0,TODAY()-A28))</x:f>
      </x:c>
      <x:c r="J28" s="22" t="str">
        <x:f>IF(A28="","",IF(TODAY()-A28&lt;=1,"Today",IF(TODAY()-A28&lt;=7,"Last 7 days","Older")))</x:f>
      </x:c>
      <x:c r="K28" s="23"/>
      <x:c r="L28" s="22"/>
      <x:c r="M28" s="22"/>
      <x:c r="N28" s="24"/>
      <x:c r="O28" s="22"/>
      <x:c r="P28" s="22"/>
      <x:c r="Q28" s="22" t="str">
        <x:f>IF(OR(B28="",C28="",F28=""),"",IF(COUNTIFS($B$2:B28,B28,$C$2:C28,C28,$F$2:F28,F28)&gt;1,"Duplicate",""))</x:f>
      </x:c>
    </x:row>
    <x:row r="29" ht="30" customHeight="1">
      <x:c r="A29" s="21"/>
      <x:c r="B29" s="22"/>
      <x:c r="C29" s="22"/>
      <x:c r="D29" s="22"/>
      <x:c r="E29" s="22"/>
      <x:c r="F29" s="22"/>
      <x:c r="G29" s="21"/>
      <x:c r="H29" s="21"/>
      <x:c r="I29" s="23" t="str">
        <x:f>IF(A29="","",MAX(0,TODAY()-A29))</x:f>
      </x:c>
      <x:c r="J29" s="22" t="str">
        <x:f>IF(A29="","",IF(TODAY()-A29&lt;=1,"Today",IF(TODAY()-A29&lt;=7,"Last 7 days","Older")))</x:f>
      </x:c>
      <x:c r="K29" s="23"/>
      <x:c r="L29" s="22"/>
      <x:c r="M29" s="22"/>
      <x:c r="N29" s="24"/>
      <x:c r="O29" s="22"/>
      <x:c r="P29" s="22"/>
      <x:c r="Q29" s="22" t="str">
        <x:f>IF(OR(B29="",C29="",F29=""),"",IF(COUNTIFS($B$2:B29,B29,$C$2:C29,C29,$F$2:F29,F29)&gt;1,"Duplicate",""))</x:f>
      </x:c>
    </x:row>
    <x:row r="30" ht="30" customHeight="1">
      <x:c r="A30" s="21"/>
      <x:c r="B30" s="22"/>
      <x:c r="C30" s="22"/>
      <x:c r="D30" s="22"/>
      <x:c r="E30" s="22"/>
      <x:c r="F30" s="22"/>
      <x:c r="G30" s="21"/>
      <x:c r="H30" s="21"/>
      <x:c r="I30" s="23" t="str">
        <x:f>IF(A30="","",MAX(0,TODAY()-A30))</x:f>
      </x:c>
      <x:c r="J30" s="22" t="str">
        <x:f>IF(A30="","",IF(TODAY()-A30&lt;=1,"Today",IF(TODAY()-A30&lt;=7,"Last 7 days","Older")))</x:f>
      </x:c>
      <x:c r="K30" s="23"/>
      <x:c r="L30" s="22"/>
      <x:c r="M30" s="22"/>
      <x:c r="N30" s="24"/>
      <x:c r="O30" s="22"/>
      <x:c r="P30" s="22"/>
      <x:c r="Q30" s="22" t="str">
        <x:f>IF(OR(B30="",C30="",F30=""),"",IF(COUNTIFS($B$2:B30,B30,$C$2:C30,C30,$F$2:F30,F30)&gt;1,"Duplicate",""))</x:f>
      </x:c>
    </x:row>
    <x:row r="31" ht="30" customHeight="1">
      <x:c r="A31" s="21"/>
      <x:c r="B31" s="22"/>
      <x:c r="C31" s="22"/>
      <x:c r="D31" s="22"/>
      <x:c r="E31" s="22"/>
      <x:c r="F31" s="22"/>
      <x:c r="G31" s="21"/>
      <x:c r="H31" s="21"/>
      <x:c r="I31" s="23" t="str">
        <x:f>IF(A31="","",MAX(0,TODAY()-A31))</x:f>
      </x:c>
      <x:c r="J31" s="22" t="str">
        <x:f>IF(A31="","",IF(TODAY()-A31&lt;=1,"Today",IF(TODAY()-A31&lt;=7,"Last 7 days","Older")))</x:f>
      </x:c>
      <x:c r="K31" s="23"/>
      <x:c r="L31" s="22"/>
      <x:c r="M31" s="22"/>
      <x:c r="N31" s="24"/>
      <x:c r="O31" s="22"/>
      <x:c r="P31" s="22"/>
      <x:c r="Q31" s="22" t="str">
        <x:f>IF(OR(B31="",C31="",F31=""),"",IF(COUNTIFS($B$2:B31,B31,$C$2:C31,C31,$F$2:F31,F31)&gt;1,"Duplicate",""))</x:f>
      </x:c>
    </x:row>
    <x:row r="32" ht="30" customHeight="1">
      <x:c r="A32" s="21"/>
      <x:c r="B32" s="22"/>
      <x:c r="C32" s="22"/>
      <x:c r="D32" s="22"/>
      <x:c r="E32" s="22"/>
      <x:c r="F32" s="22"/>
      <x:c r="G32" s="21"/>
      <x:c r="H32" s="21"/>
      <x:c r="I32" s="23" t="str">
        <x:f>IF(A32="","",MAX(0,TODAY()-A32))</x:f>
      </x:c>
      <x:c r="J32" s="22" t="str">
        <x:f>IF(A32="","",IF(TODAY()-A32&lt;=1,"Today",IF(TODAY()-A32&lt;=7,"Last 7 days","Older")))</x:f>
      </x:c>
      <x:c r="K32" s="23"/>
      <x:c r="L32" s="22"/>
      <x:c r="M32" s="22"/>
      <x:c r="N32" s="24"/>
      <x:c r="O32" s="22"/>
      <x:c r="P32" s="22"/>
      <x:c r="Q32" s="22" t="str">
        <x:f>IF(OR(B32="",C32="",F32=""),"",IF(COUNTIFS($B$2:B32,B32,$C$2:C32,C32,$F$2:F32,F32)&gt;1,"Duplicate",""))</x:f>
      </x:c>
    </x:row>
    <x:row r="33" ht="30" customHeight="1">
      <x:c r="A33" s="21"/>
      <x:c r="B33" s="22"/>
      <x:c r="C33" s="22"/>
      <x:c r="D33" s="22"/>
      <x:c r="E33" s="22"/>
      <x:c r="F33" s="22"/>
      <x:c r="G33" s="21"/>
      <x:c r="H33" s="21"/>
      <x:c r="I33" s="23" t="str">
        <x:f>IF(A33="","",MAX(0,TODAY()-A33))</x:f>
      </x:c>
      <x:c r="J33" s="22" t="str">
        <x:f>IF(A33="","",IF(TODAY()-A33&lt;=1,"Today",IF(TODAY()-A33&lt;=7,"Last 7 days","Older")))</x:f>
      </x:c>
      <x:c r="K33" s="23"/>
      <x:c r="L33" s="22"/>
      <x:c r="M33" s="22"/>
      <x:c r="N33" s="24"/>
      <x:c r="O33" s="22"/>
      <x:c r="P33" s="22"/>
      <x:c r="Q33" s="22" t="str">
        <x:f>IF(OR(B33="",C33="",F33=""),"",IF(COUNTIFS($B$2:B33,B33,$C$2:C33,C33,$F$2:F33,F33)&gt;1,"Duplicate",""))</x:f>
      </x:c>
    </x:row>
    <x:row r="34" ht="30" customHeight="1">
      <x:c r="A34" s="21"/>
      <x:c r="B34" s="22"/>
      <x:c r="C34" s="22"/>
      <x:c r="D34" s="22"/>
      <x:c r="E34" s="22"/>
      <x:c r="F34" s="22"/>
      <x:c r="G34" s="21"/>
      <x:c r="H34" s="21"/>
      <x:c r="I34" s="23" t="str">
        <x:f>IF(A34="","",MAX(0,TODAY()-A34))</x:f>
      </x:c>
      <x:c r="J34" s="22" t="str">
        <x:f>IF(A34="","",IF(TODAY()-A34&lt;=1,"Today",IF(TODAY()-A34&lt;=7,"Last 7 days","Older")))</x:f>
      </x:c>
      <x:c r="K34" s="23"/>
      <x:c r="L34" s="22"/>
      <x:c r="M34" s="22"/>
      <x:c r="N34" s="24"/>
      <x:c r="O34" s="22"/>
      <x:c r="P34" s="22"/>
      <x:c r="Q34" s="22" t="str">
        <x:f>IF(OR(B34="",C34="",F34=""),"",IF(COUNTIFS($B$2:B34,B34,$C$2:C34,C34,$F$2:F34,F34)&gt;1,"Duplicate",""))</x:f>
      </x:c>
    </x:row>
    <x:row r="35" ht="30" customHeight="1">
      <x:c r="A35" s="21"/>
      <x:c r="B35" s="22"/>
      <x:c r="C35" s="22"/>
      <x:c r="D35" s="22"/>
      <x:c r="E35" s="22"/>
      <x:c r="F35" s="22"/>
      <x:c r="G35" s="21"/>
      <x:c r="H35" s="21"/>
      <x:c r="I35" s="23" t="str">
        <x:f>IF(A35="","",MAX(0,TODAY()-A35))</x:f>
      </x:c>
      <x:c r="J35" s="22" t="str">
        <x:f>IF(A35="","",IF(TODAY()-A35&lt;=1,"Today",IF(TODAY()-A35&lt;=7,"Last 7 days","Older")))</x:f>
      </x:c>
      <x:c r="K35" s="23"/>
      <x:c r="L35" s="22"/>
      <x:c r="M35" s="22"/>
      <x:c r="N35" s="24"/>
      <x:c r="O35" s="22"/>
      <x:c r="P35" s="22"/>
      <x:c r="Q35" s="22" t="str">
        <x:f>IF(OR(B35="",C35="",F35=""),"",IF(COUNTIFS($B$2:B35,B35,$C$2:C35,C35,$F$2:F35,F35)&gt;1,"Duplicate",""))</x:f>
      </x:c>
    </x:row>
    <x:row r="36" ht="30" customHeight="1">
      <x:c r="A36" s="21"/>
      <x:c r="B36" s="22"/>
      <x:c r="C36" s="22"/>
      <x:c r="D36" s="22"/>
      <x:c r="E36" s="22"/>
      <x:c r="F36" s="22"/>
      <x:c r="G36" s="21"/>
      <x:c r="H36" s="21"/>
      <x:c r="I36" s="23" t="str">
        <x:f>IF(A36="","",MAX(0,TODAY()-A36))</x:f>
      </x:c>
      <x:c r="J36" s="22" t="str">
        <x:f>IF(A36="","",IF(TODAY()-A36&lt;=1,"Today",IF(TODAY()-A36&lt;=7,"Last 7 days","Older")))</x:f>
      </x:c>
      <x:c r="K36" s="23"/>
      <x:c r="L36" s="22"/>
      <x:c r="M36" s="22"/>
      <x:c r="N36" s="24"/>
      <x:c r="O36" s="22"/>
      <x:c r="P36" s="22"/>
      <x:c r="Q36" s="22" t="str">
        <x:f>IF(OR(B36="",C36="",F36=""),"",IF(COUNTIFS($B$2:B36,B36,$C$2:C36,C36,$F$2:F36,F36)&gt;1,"Duplicate",""))</x:f>
      </x:c>
    </x:row>
    <x:row r="37" ht="30" customHeight="1">
      <x:c r="A37" s="21"/>
      <x:c r="B37" s="22"/>
      <x:c r="C37" s="22"/>
      <x:c r="D37" s="22"/>
      <x:c r="E37" s="22"/>
      <x:c r="F37" s="22"/>
      <x:c r="G37" s="21"/>
      <x:c r="H37" s="21"/>
      <x:c r="I37" s="23" t="str">
        <x:f>IF(A37="","",MAX(0,TODAY()-A37))</x:f>
      </x:c>
      <x:c r="J37" s="22" t="str">
        <x:f>IF(A37="","",IF(TODAY()-A37&lt;=1,"Today",IF(TODAY()-A37&lt;=7,"Last 7 days","Older")))</x:f>
      </x:c>
      <x:c r="K37" s="23"/>
      <x:c r="L37" s="22"/>
      <x:c r="M37" s="22"/>
      <x:c r="N37" s="24"/>
      <x:c r="O37" s="22"/>
      <x:c r="P37" s="22"/>
      <x:c r="Q37" s="22" t="str">
        <x:f>IF(OR(B37="",C37="",F37=""),"",IF(COUNTIFS($B$2:B37,B37,$C$2:C37,C37,$F$2:F37,F37)&gt;1,"Duplicate",""))</x:f>
      </x:c>
    </x:row>
    <x:row r="38" ht="30" customHeight="1">
      <x:c r="A38" s="21"/>
      <x:c r="B38" s="22"/>
      <x:c r="C38" s="22"/>
      <x:c r="D38" s="22"/>
      <x:c r="E38" s="22"/>
      <x:c r="F38" s="22"/>
      <x:c r="G38" s="21"/>
      <x:c r="H38" s="21"/>
      <x:c r="I38" s="23" t="str">
        <x:f>IF(A38="","",MAX(0,TODAY()-A38))</x:f>
      </x:c>
      <x:c r="J38" s="22" t="str">
        <x:f>IF(A38="","",IF(TODAY()-A38&lt;=1,"Today",IF(TODAY()-A38&lt;=7,"Last 7 days","Older")))</x:f>
      </x:c>
      <x:c r="K38" s="23"/>
      <x:c r="L38" s="22"/>
      <x:c r="M38" s="22"/>
      <x:c r="N38" s="24"/>
      <x:c r="O38" s="22"/>
      <x:c r="P38" s="22"/>
      <x:c r="Q38" s="22" t="str">
        <x:f>IF(OR(B38="",C38="",F38=""),"",IF(COUNTIFS($B$2:B38,B38,$C$2:C38,C38,$F$2:F38,F38)&gt;1,"Duplicate",""))</x:f>
      </x:c>
    </x:row>
    <x:row r="39" ht="30" customHeight="1">
      <x:c r="A39" s="21"/>
      <x:c r="B39" s="22"/>
      <x:c r="C39" s="22"/>
      <x:c r="D39" s="22"/>
      <x:c r="E39" s="22"/>
      <x:c r="F39" s="22"/>
      <x:c r="G39" s="21"/>
      <x:c r="H39" s="21"/>
      <x:c r="I39" s="23" t="str">
        <x:f>IF(A39="","",MAX(0,TODAY()-A39))</x:f>
      </x:c>
      <x:c r="J39" s="22" t="str">
        <x:f>IF(A39="","",IF(TODAY()-A39&lt;=1,"Today",IF(TODAY()-A39&lt;=7,"Last 7 days","Older")))</x:f>
      </x:c>
      <x:c r="K39" s="23"/>
      <x:c r="L39" s="22"/>
      <x:c r="M39" s="22"/>
      <x:c r="N39" s="24"/>
      <x:c r="O39" s="22"/>
      <x:c r="P39" s="22"/>
      <x:c r="Q39" s="22" t="str">
        <x:f>IF(OR(B39="",C39="",F39=""),"",IF(COUNTIFS($B$2:B39,B39,$C$2:C39,C39,$F$2:F39,F39)&gt;1,"Duplicate",""))</x:f>
      </x:c>
    </x:row>
    <x:row r="40" ht="30" customHeight="1">
      <x:c r="A40" s="21"/>
      <x:c r="B40" s="22"/>
      <x:c r="C40" s="22"/>
      <x:c r="D40" s="22"/>
      <x:c r="E40" s="22"/>
      <x:c r="F40" s="22"/>
      <x:c r="G40" s="21"/>
      <x:c r="H40" s="21"/>
      <x:c r="I40" s="23" t="str">
        <x:f>IF(A40="","",MAX(0,TODAY()-A40))</x:f>
      </x:c>
      <x:c r="J40" s="22" t="str">
        <x:f>IF(A40="","",IF(TODAY()-A40&lt;=1,"Today",IF(TODAY()-A40&lt;=7,"Last 7 days","Older")))</x:f>
      </x:c>
      <x:c r="K40" s="23"/>
      <x:c r="L40" s="22"/>
      <x:c r="M40" s="22"/>
      <x:c r="N40" s="24"/>
      <x:c r="O40" s="22"/>
      <x:c r="P40" s="22"/>
      <x:c r="Q40" s="22" t="str">
        <x:f>IF(OR(B40="",C40="",F40=""),"",IF(COUNTIFS($B$2:B40,B40,$C$2:C40,C40,$F$2:F40,F40)&gt;1,"Duplicate",""))</x:f>
      </x:c>
    </x:row>
    <x:row r="41" ht="30" customHeight="1">
      <x:c r="A41" s="21"/>
      <x:c r="B41" s="22"/>
      <x:c r="C41" s="22"/>
      <x:c r="D41" s="22"/>
      <x:c r="E41" s="22"/>
      <x:c r="F41" s="22"/>
      <x:c r="G41" s="21"/>
      <x:c r="H41" s="21"/>
      <x:c r="I41" s="23" t="str">
        <x:f>IF(A41="","",MAX(0,TODAY()-A41))</x:f>
      </x:c>
      <x:c r="J41" s="22" t="str">
        <x:f>IF(A41="","",IF(TODAY()-A41&lt;=1,"Today",IF(TODAY()-A41&lt;=7,"Last 7 days","Older")))</x:f>
      </x:c>
      <x:c r="K41" s="23"/>
      <x:c r="L41" s="22"/>
      <x:c r="M41" s="22"/>
      <x:c r="N41" s="24"/>
      <x:c r="O41" s="22"/>
      <x:c r="P41" s="22"/>
      <x:c r="Q41" s="22" t="str">
        <x:f>IF(OR(B41="",C41="",F41=""),"",IF(COUNTIFS($B$2:B41,B41,$C$2:C41,C41,$F$2:F41,F41)&gt;1,"Duplicate",""))</x:f>
      </x:c>
    </x:row>
    <x:row r="42" ht="30" customHeight="1">
      <x:c r="A42" s="21"/>
      <x:c r="B42" s="22"/>
      <x:c r="C42" s="22"/>
      <x:c r="D42" s="22"/>
      <x:c r="E42" s="22"/>
      <x:c r="F42" s="22"/>
      <x:c r="G42" s="21"/>
      <x:c r="H42" s="21"/>
      <x:c r="I42" s="23" t="str">
        <x:f>IF(A42="","",MAX(0,TODAY()-A42))</x:f>
      </x:c>
      <x:c r="J42" s="22" t="str">
        <x:f>IF(A42="","",IF(TODAY()-A42&lt;=1,"Today",IF(TODAY()-A42&lt;=7,"Last 7 days","Older")))</x:f>
      </x:c>
      <x:c r="K42" s="23"/>
      <x:c r="L42" s="22"/>
      <x:c r="M42" s="22"/>
      <x:c r="N42" s="24"/>
      <x:c r="O42" s="22"/>
      <x:c r="P42" s="22"/>
      <x:c r="Q42" s="22" t="str">
        <x:f>IF(OR(B42="",C42="",F42=""),"",IF(COUNTIFS($B$2:B42,B42,$C$2:C42,C42,$F$2:F42,F42)&gt;1,"Duplicate",""))</x:f>
      </x:c>
    </x:row>
    <x:row r="43" ht="30" customHeight="1">
      <x:c r="A43" s="21"/>
      <x:c r="B43" s="22"/>
      <x:c r="C43" s="22"/>
      <x:c r="D43" s="22"/>
      <x:c r="E43" s="22"/>
      <x:c r="F43" s="22"/>
      <x:c r="G43" s="21"/>
      <x:c r="H43" s="21"/>
      <x:c r="I43" s="23" t="str">
        <x:f>IF(A43="","",MAX(0,TODAY()-A43))</x:f>
      </x:c>
      <x:c r="J43" s="22" t="str">
        <x:f>IF(A43="","",IF(TODAY()-A43&lt;=1,"Today",IF(TODAY()-A43&lt;=7,"Last 7 days","Older")))</x:f>
      </x:c>
      <x:c r="K43" s="23"/>
      <x:c r="L43" s="22"/>
      <x:c r="M43" s="22"/>
      <x:c r="N43" s="24"/>
      <x:c r="O43" s="22"/>
      <x:c r="P43" s="22"/>
      <x:c r="Q43" s="22" t="str">
        <x:f>IF(OR(B43="",C43="",F43=""),"",IF(COUNTIFS($B$2:B43,B43,$C$2:C43,C43,$F$2:F43,F43)&gt;1,"Duplicate",""))</x:f>
      </x:c>
    </x:row>
    <x:row r="44" ht="30" customHeight="1">
      <x:c r="A44" s="21"/>
      <x:c r="B44" s="22"/>
      <x:c r="C44" s="22"/>
      <x:c r="D44" s="22"/>
      <x:c r="E44" s="22"/>
      <x:c r="F44" s="22"/>
      <x:c r="G44" s="21"/>
      <x:c r="H44" s="21"/>
      <x:c r="I44" s="23" t="str">
        <x:f>IF(A44="","",MAX(0,TODAY()-A44))</x:f>
      </x:c>
      <x:c r="J44" s="22" t="str">
        <x:f>IF(A44="","",IF(TODAY()-A44&lt;=1,"Today",IF(TODAY()-A44&lt;=7,"Last 7 days","Older")))</x:f>
      </x:c>
      <x:c r="K44" s="23"/>
      <x:c r="L44" s="22"/>
      <x:c r="M44" s="22"/>
      <x:c r="N44" s="24"/>
      <x:c r="O44" s="22"/>
      <x:c r="P44" s="22"/>
      <x:c r="Q44" s="22" t="str">
        <x:f>IF(OR(B44="",C44="",F44=""),"",IF(COUNTIFS($B$2:B44,B44,$C$2:C44,C44,$F$2:F44,F44)&gt;1,"Duplicate",""))</x:f>
      </x:c>
    </x:row>
    <x:row r="45" ht="30" customHeight="1">
      <x:c r="A45" s="21"/>
      <x:c r="B45" s="22"/>
      <x:c r="C45" s="22"/>
      <x:c r="D45" s="22"/>
      <x:c r="E45" s="22"/>
      <x:c r="F45" s="22"/>
      <x:c r="G45" s="21"/>
      <x:c r="H45" s="21"/>
      <x:c r="I45" s="23" t="str">
        <x:f>IF(A45="","",MAX(0,TODAY()-A45))</x:f>
      </x:c>
      <x:c r="J45" s="22" t="str">
        <x:f>IF(A45="","",IF(TODAY()-A45&lt;=1,"Today",IF(TODAY()-A45&lt;=7,"Last 7 days","Older")))</x:f>
      </x:c>
      <x:c r="K45" s="23"/>
      <x:c r="L45" s="22"/>
      <x:c r="M45" s="22"/>
      <x:c r="N45" s="24"/>
      <x:c r="O45" s="22"/>
      <x:c r="P45" s="22"/>
      <x:c r="Q45" s="22" t="str">
        <x:f>IF(OR(B45="",C45="",F45=""),"",IF(COUNTIFS($B$2:B45,B45,$C$2:C45,C45,$F$2:F45,F45)&gt;1,"Duplicate",""))</x:f>
      </x:c>
    </x:row>
    <x:row r="46" ht="30" customHeight="1">
      <x:c r="A46" s="21"/>
      <x:c r="B46" s="22"/>
      <x:c r="C46" s="22"/>
      <x:c r="D46" s="22"/>
      <x:c r="E46" s="22"/>
      <x:c r="F46" s="22"/>
      <x:c r="G46" s="21"/>
      <x:c r="H46" s="21"/>
      <x:c r="I46" s="23" t="str">
        <x:f>IF(A46="","",MAX(0,TODAY()-A46))</x:f>
      </x:c>
      <x:c r="J46" s="22" t="str">
        <x:f>IF(A46="","",IF(TODAY()-A46&lt;=1,"Today",IF(TODAY()-A46&lt;=7,"Last 7 days","Older")))</x:f>
      </x:c>
      <x:c r="K46" s="23"/>
      <x:c r="L46" s="22"/>
      <x:c r="M46" s="22"/>
      <x:c r="N46" s="24"/>
      <x:c r="O46" s="22"/>
      <x:c r="P46" s="22"/>
      <x:c r="Q46" s="22" t="str">
        <x:f>IF(OR(B46="",C46="",F46=""),"",IF(COUNTIFS($B$2:B46,B46,$C$2:C46,C46,$F$2:F46,F46)&gt;1,"Duplicate",""))</x:f>
      </x:c>
    </x:row>
    <x:row r="47" ht="30" customHeight="1">
      <x:c r="A47" s="21"/>
      <x:c r="B47" s="22"/>
      <x:c r="C47" s="22"/>
      <x:c r="D47" s="22"/>
      <x:c r="E47" s="22"/>
      <x:c r="F47" s="22"/>
      <x:c r="G47" s="21"/>
      <x:c r="H47" s="21"/>
      <x:c r="I47" s="23" t="str">
        <x:f>IF(A47="","",MAX(0,TODAY()-A47))</x:f>
      </x:c>
      <x:c r="J47" s="22" t="str">
        <x:f>IF(A47="","",IF(TODAY()-A47&lt;=1,"Today",IF(TODAY()-A47&lt;=7,"Last 7 days","Older")))</x:f>
      </x:c>
      <x:c r="K47" s="23"/>
      <x:c r="L47" s="22"/>
      <x:c r="M47" s="22"/>
      <x:c r="N47" s="24"/>
      <x:c r="O47" s="22"/>
      <x:c r="P47" s="22"/>
      <x:c r="Q47" s="22" t="str">
        <x:f>IF(OR(B47="",C47="",F47=""),"",IF(COUNTIFS($B$2:B47,B47,$C$2:C47,C47,$F$2:F47,F47)&gt;1,"Duplicate",""))</x:f>
      </x:c>
    </x:row>
    <x:row r="48" ht="30" customHeight="1">
      <x:c r="A48" s="21"/>
      <x:c r="B48" s="22"/>
      <x:c r="C48" s="22"/>
      <x:c r="D48" s="22"/>
      <x:c r="E48" s="22"/>
      <x:c r="F48" s="22"/>
      <x:c r="G48" s="21"/>
      <x:c r="H48" s="21"/>
      <x:c r="I48" s="23" t="str">
        <x:f>IF(A48="","",MAX(0,TODAY()-A48))</x:f>
      </x:c>
      <x:c r="J48" s="22" t="str">
        <x:f>IF(A48="","",IF(TODAY()-A48&lt;=1,"Today",IF(TODAY()-A48&lt;=7,"Last 7 days","Older")))</x:f>
      </x:c>
      <x:c r="K48" s="23"/>
      <x:c r="L48" s="22"/>
      <x:c r="M48" s="22"/>
      <x:c r="N48" s="24"/>
      <x:c r="O48" s="22"/>
      <x:c r="P48" s="22"/>
      <x:c r="Q48" s="22" t="str">
        <x:f>IF(OR(B48="",C48="",F48=""),"",IF(COUNTIFS($B$2:B48,B48,$C$2:C48,C48,$F$2:F48,F48)&gt;1,"Duplicate",""))</x:f>
      </x:c>
    </x:row>
    <x:row r="49" ht="30" customHeight="1">
      <x:c r="A49" s="21"/>
      <x:c r="B49" s="22"/>
      <x:c r="C49" s="22"/>
      <x:c r="D49" s="22"/>
      <x:c r="E49" s="22"/>
      <x:c r="F49" s="22"/>
      <x:c r="G49" s="21"/>
      <x:c r="H49" s="21"/>
      <x:c r="I49" s="23" t="str">
        <x:f>IF(A49="","",MAX(0,TODAY()-A49))</x:f>
      </x:c>
      <x:c r="J49" s="22" t="str">
        <x:f>IF(A49="","",IF(TODAY()-A49&lt;=1,"Today",IF(TODAY()-A49&lt;=7,"Last 7 days","Older")))</x:f>
      </x:c>
      <x:c r="K49" s="23"/>
      <x:c r="L49" s="22"/>
      <x:c r="M49" s="22"/>
      <x:c r="N49" s="24"/>
      <x:c r="O49" s="22"/>
      <x:c r="P49" s="22"/>
      <x:c r="Q49" s="22" t="str">
        <x:f>IF(OR(B49="",C49="",F49=""),"",IF(COUNTIFS($B$2:B49,B49,$C$2:C49,C49,$F$2:F49,F49)&gt;1,"Duplicate",""))</x:f>
      </x:c>
    </x:row>
    <x:row r="50" ht="30" customHeight="1">
      <x:c r="A50" s="21"/>
      <x:c r="B50" s="22"/>
      <x:c r="C50" s="22"/>
      <x:c r="D50" s="22"/>
      <x:c r="E50" s="22"/>
      <x:c r="F50" s="22"/>
      <x:c r="G50" s="21"/>
      <x:c r="H50" s="21"/>
      <x:c r="I50" s="23" t="str">
        <x:f>IF(A50="","",MAX(0,TODAY()-A50))</x:f>
      </x:c>
      <x:c r="J50" s="22" t="str">
        <x:f>IF(A50="","",IF(TODAY()-A50&lt;=1,"Today",IF(TODAY()-A50&lt;=7,"Last 7 days","Older")))</x:f>
      </x:c>
      <x:c r="K50" s="23"/>
      <x:c r="L50" s="22"/>
      <x:c r="M50" s="22"/>
      <x:c r="N50" s="24"/>
      <x:c r="O50" s="22"/>
      <x:c r="P50" s="22"/>
      <x:c r="Q50" s="22" t="str">
        <x:f>IF(OR(B50="",C50="",F50=""),"",IF(COUNTIFS($B$2:B50,B50,$C$2:C50,C50,$F$2:F50,F50)&gt;1,"Duplicate",""))</x:f>
      </x:c>
    </x:row>
    <x:row r="51" ht="30" customHeight="1">
      <x:c r="A51" s="21"/>
      <x:c r="B51" s="22"/>
      <x:c r="C51" s="22"/>
      <x:c r="D51" s="22"/>
      <x:c r="E51" s="22"/>
      <x:c r="F51" s="22"/>
      <x:c r="G51" s="21"/>
      <x:c r="H51" s="21"/>
      <x:c r="I51" s="23" t="str">
        <x:f>IF(A51="","",MAX(0,TODAY()-A51))</x:f>
      </x:c>
      <x:c r="J51" s="22" t="str">
        <x:f>IF(A51="","",IF(TODAY()-A51&lt;=1,"Today",IF(TODAY()-A51&lt;=7,"Last 7 days","Older")))</x:f>
      </x:c>
      <x:c r="K51" s="23"/>
      <x:c r="L51" s="22"/>
      <x:c r="M51" s="22"/>
      <x:c r="N51" s="24"/>
      <x:c r="O51" s="22"/>
      <x:c r="P51" s="22"/>
      <x:c r="Q51" s="22" t="str">
        <x:f>IF(OR(B51="",C51="",F51=""),"",IF(COUNTIFS($B$2:B51,B51,$C$2:C51,C51,$F$2:F51,F51)&gt;1,"Duplicate",""))</x:f>
      </x:c>
    </x:row>
    <x:row r="52" ht="30" customHeight="1">
      <x:c r="A52" s="21"/>
      <x:c r="B52" s="22"/>
      <x:c r="C52" s="22"/>
      <x:c r="D52" s="22"/>
      <x:c r="E52" s="22"/>
      <x:c r="F52" s="22"/>
      <x:c r="G52" s="21"/>
      <x:c r="H52" s="21"/>
      <x:c r="I52" s="23" t="str">
        <x:f>IF(A52="","",MAX(0,TODAY()-A52))</x:f>
      </x:c>
      <x:c r="J52" s="22" t="str">
        <x:f>IF(A52="","",IF(TODAY()-A52&lt;=1,"Today",IF(TODAY()-A52&lt;=7,"Last 7 days","Older")))</x:f>
      </x:c>
      <x:c r="K52" s="23"/>
      <x:c r="L52" s="22"/>
      <x:c r="M52" s="22"/>
      <x:c r="N52" s="24"/>
      <x:c r="O52" s="22"/>
      <x:c r="P52" s="22"/>
      <x:c r="Q52" s="22" t="str">
        <x:f>IF(OR(B52="",C52="",F52=""),"",IF(COUNTIFS($B$2:B52,B52,$C$2:C52,C52,$F$2:F52,F52)&gt;1,"Duplicate",""))</x:f>
      </x:c>
    </x:row>
    <x:row r="53" ht="30" customHeight="1">
      <x:c r="A53" s="21"/>
      <x:c r="B53" s="22"/>
      <x:c r="C53" s="22"/>
      <x:c r="D53" s="22"/>
      <x:c r="E53" s="22"/>
      <x:c r="F53" s="22"/>
      <x:c r="G53" s="21"/>
      <x:c r="H53" s="21"/>
      <x:c r="I53" s="23" t="str">
        <x:f>IF(A53="","",MAX(0,TODAY()-A53))</x:f>
      </x:c>
      <x:c r="J53" s="22" t="str">
        <x:f>IF(A53="","",IF(TODAY()-A53&lt;=1,"Today",IF(TODAY()-A53&lt;=7,"Last 7 days","Older")))</x:f>
      </x:c>
      <x:c r="K53" s="23"/>
      <x:c r="L53" s="22"/>
      <x:c r="M53" s="22"/>
      <x:c r="N53" s="24"/>
      <x:c r="O53" s="22"/>
      <x:c r="P53" s="22"/>
      <x:c r="Q53" s="22" t="str">
        <x:f>IF(OR(B53="",C53="",F53=""),"",IF(COUNTIFS($B$2:B53,B53,$C$2:C53,C53,$F$2:F53,F53)&gt;1,"Duplicate",""))</x:f>
      </x:c>
    </x:row>
    <x:row r="54" ht="30" customHeight="1">
      <x:c r="A54" s="21"/>
      <x:c r="B54" s="22"/>
      <x:c r="C54" s="22"/>
      <x:c r="D54" s="22"/>
      <x:c r="E54" s="22"/>
      <x:c r="F54" s="22"/>
      <x:c r="G54" s="21"/>
      <x:c r="H54" s="21"/>
      <x:c r="I54" s="23" t="str">
        <x:f>IF(A54="","",MAX(0,TODAY()-A54))</x:f>
      </x:c>
      <x:c r="J54" s="22" t="str">
        <x:f>IF(A54="","",IF(TODAY()-A54&lt;=1,"Today",IF(TODAY()-A54&lt;=7,"Last 7 days","Older")))</x:f>
      </x:c>
      <x:c r="K54" s="23"/>
      <x:c r="L54" s="22"/>
      <x:c r="M54" s="22"/>
      <x:c r="N54" s="24"/>
      <x:c r="O54" s="22"/>
      <x:c r="P54" s="22"/>
      <x:c r="Q54" s="22" t="str">
        <x:f>IF(OR(B54="",C54="",F54=""),"",IF(COUNTIFS($B$2:B54,B54,$C$2:C54,C54,$F$2:F54,F54)&gt;1,"Duplicate",""))</x:f>
      </x:c>
    </x:row>
    <x:row r="55" ht="30" customHeight="1">
      <x:c r="A55" s="21"/>
      <x:c r="B55" s="22"/>
      <x:c r="C55" s="22"/>
      <x:c r="D55" s="22"/>
      <x:c r="E55" s="22"/>
      <x:c r="F55" s="22"/>
      <x:c r="G55" s="21"/>
      <x:c r="H55" s="21"/>
      <x:c r="I55" s="23" t="str">
        <x:f>IF(A55="","",MAX(0,TODAY()-A55))</x:f>
      </x:c>
      <x:c r="J55" s="22" t="str">
        <x:f>IF(A55="","",IF(TODAY()-A55&lt;=1,"Today",IF(TODAY()-A55&lt;=7,"Last 7 days","Older")))</x:f>
      </x:c>
      <x:c r="K55" s="23"/>
      <x:c r="L55" s="22"/>
      <x:c r="M55" s="22"/>
      <x:c r="N55" s="24"/>
      <x:c r="O55" s="22"/>
      <x:c r="P55" s="22"/>
      <x:c r="Q55" s="22" t="str">
        <x:f>IF(OR(B55="",C55="",F55=""),"",IF(COUNTIFS($B$2:B55,B55,$C$2:C55,C55,$F$2:F55,F55)&gt;1,"Duplicate",""))</x:f>
      </x:c>
    </x:row>
    <x:row r="56" ht="30" customHeight="1">
      <x:c r="A56" s="21"/>
      <x:c r="B56" s="22"/>
      <x:c r="C56" s="22"/>
      <x:c r="D56" s="22"/>
      <x:c r="E56" s="22"/>
      <x:c r="F56" s="22"/>
      <x:c r="G56" s="21"/>
      <x:c r="H56" s="21"/>
      <x:c r="I56" s="23" t="str">
        <x:f>IF(A56="","",MAX(0,TODAY()-A56))</x:f>
      </x:c>
      <x:c r="J56" s="22" t="str">
        <x:f>IF(A56="","",IF(TODAY()-A56&lt;=1,"Today",IF(TODAY()-A56&lt;=7,"Last 7 days","Older")))</x:f>
      </x:c>
      <x:c r="K56" s="23"/>
      <x:c r="L56" s="22"/>
      <x:c r="M56" s="22"/>
      <x:c r="N56" s="24"/>
      <x:c r="O56" s="22"/>
      <x:c r="P56" s="22"/>
      <x:c r="Q56" s="22" t="str">
        <x:f>IF(OR(B56="",C56="",F56=""),"",IF(COUNTIFS($B$2:B56,B56,$C$2:C56,C56,$F$2:F56,F56)&gt;1,"Duplicate",""))</x:f>
      </x:c>
    </x:row>
    <x:row r="57" ht="30" customHeight="1">
      <x:c r="A57" s="21"/>
      <x:c r="B57" s="22"/>
      <x:c r="C57" s="22"/>
      <x:c r="D57" s="22"/>
      <x:c r="E57" s="22"/>
      <x:c r="F57" s="22"/>
      <x:c r="G57" s="21"/>
      <x:c r="H57" s="21"/>
      <x:c r="I57" s="23" t="str">
        <x:f>IF(A57="","",MAX(0,TODAY()-A57))</x:f>
      </x:c>
      <x:c r="J57" s="22" t="str">
        <x:f>IF(A57="","",IF(TODAY()-A57&lt;=1,"Today",IF(TODAY()-A57&lt;=7,"Last 7 days","Older")))</x:f>
      </x:c>
      <x:c r="K57" s="23"/>
      <x:c r="L57" s="22"/>
      <x:c r="M57" s="22"/>
      <x:c r="N57" s="24"/>
      <x:c r="O57" s="22"/>
      <x:c r="P57" s="22"/>
      <x:c r="Q57" s="22" t="str">
        <x:f>IF(OR(B57="",C57="",F57=""),"",IF(COUNTIFS($B$2:B57,B57,$C$2:C57,C57,$F$2:F57,F57)&gt;1,"Duplicate",""))</x:f>
      </x:c>
    </x:row>
    <x:row r="58" ht="30" customHeight="1">
      <x:c r="A58" s="21"/>
      <x:c r="B58" s="22"/>
      <x:c r="C58" s="22"/>
      <x:c r="D58" s="22"/>
      <x:c r="E58" s="22"/>
      <x:c r="F58" s="22"/>
      <x:c r="G58" s="21"/>
      <x:c r="H58" s="21"/>
      <x:c r="I58" s="23" t="str">
        <x:f>IF(A58="","",MAX(0,TODAY()-A58))</x:f>
      </x:c>
      <x:c r="J58" s="22" t="str">
        <x:f>IF(A58="","",IF(TODAY()-A58&lt;=1,"Today",IF(TODAY()-A58&lt;=7,"Last 7 days","Older")))</x:f>
      </x:c>
      <x:c r="K58" s="23"/>
      <x:c r="L58" s="22"/>
      <x:c r="M58" s="22"/>
      <x:c r="N58" s="24"/>
      <x:c r="O58" s="22"/>
      <x:c r="P58" s="22"/>
      <x:c r="Q58" s="22" t="str">
        <x:f>IF(OR(B58="",C58="",F58=""),"",IF(COUNTIFS($B$2:B58,B58,$C$2:C58,C58,$F$2:F58,F58)&gt;1,"Duplicate",""))</x:f>
      </x:c>
    </x:row>
    <x:row r="59" ht="30" customHeight="1">
      <x:c r="A59" s="21"/>
      <x:c r="B59" s="22"/>
      <x:c r="C59" s="22"/>
      <x:c r="D59" s="22"/>
      <x:c r="E59" s="22"/>
      <x:c r="F59" s="22"/>
      <x:c r="G59" s="21"/>
      <x:c r="H59" s="21"/>
      <x:c r="I59" s="23" t="str">
        <x:f>IF(A59="","",MAX(0,TODAY()-A59))</x:f>
      </x:c>
      <x:c r="J59" s="22" t="str">
        <x:f>IF(A59="","",IF(TODAY()-A59&lt;=1,"Today",IF(TODAY()-A59&lt;=7,"Last 7 days","Older")))</x:f>
      </x:c>
      <x:c r="K59" s="23"/>
      <x:c r="L59" s="22"/>
      <x:c r="M59" s="22"/>
      <x:c r="N59" s="24"/>
      <x:c r="O59" s="22"/>
      <x:c r="P59" s="22"/>
      <x:c r="Q59" s="22" t="str">
        <x:f>IF(OR(B59="",C59="",F59=""),"",IF(COUNTIFS($B$2:B59,B59,$C$2:C59,C59,$F$2:F59,F59)&gt;1,"Duplicate",""))</x:f>
      </x:c>
    </x:row>
    <x:row r="60" ht="30" customHeight="1">
      <x:c r="A60" s="21"/>
      <x:c r="B60" s="22"/>
      <x:c r="C60" s="22"/>
      <x:c r="D60" s="22"/>
      <x:c r="E60" s="22"/>
      <x:c r="F60" s="22"/>
      <x:c r="G60" s="21"/>
      <x:c r="H60" s="21"/>
      <x:c r="I60" s="23" t="str">
        <x:f>IF(A60="","",MAX(0,TODAY()-A60))</x:f>
      </x:c>
      <x:c r="J60" s="22" t="str">
        <x:f>IF(A60="","",IF(TODAY()-A60&lt;=1,"Today",IF(TODAY()-A60&lt;=7,"Last 7 days","Older")))</x:f>
      </x:c>
      <x:c r="K60" s="23"/>
      <x:c r="L60" s="22"/>
      <x:c r="M60" s="22"/>
      <x:c r="N60" s="24"/>
      <x:c r="O60" s="22"/>
      <x:c r="P60" s="22"/>
      <x:c r="Q60" s="22" t="str">
        <x:f>IF(OR(B60="",C60="",F60=""),"",IF(COUNTIFS($B$2:B60,B60,$C$2:C60,C60,$F$2:F60,F60)&gt;1,"Duplicate",""))</x:f>
      </x:c>
    </x:row>
    <x:row r="61" ht="30" customHeight="1">
      <x:c r="A61" s="21"/>
      <x:c r="B61" s="22"/>
      <x:c r="C61" s="22"/>
      <x:c r="D61" s="22"/>
      <x:c r="E61" s="22"/>
      <x:c r="F61" s="22"/>
      <x:c r="G61" s="21"/>
      <x:c r="H61" s="21"/>
      <x:c r="I61" s="23" t="str">
        <x:f>IF(A61="","",MAX(0,TODAY()-A61))</x:f>
      </x:c>
      <x:c r="J61" s="22" t="str">
        <x:f>IF(A61="","",IF(TODAY()-A61&lt;=1,"Today",IF(TODAY()-A61&lt;=7,"Last 7 days","Older")))</x:f>
      </x:c>
      <x:c r="K61" s="23"/>
      <x:c r="L61" s="22"/>
      <x:c r="M61" s="22"/>
      <x:c r="N61" s="24"/>
      <x:c r="O61" s="22"/>
      <x:c r="P61" s="22"/>
      <x:c r="Q61" s="22" t="str">
        <x:f>IF(OR(B61="",C61="",F61=""),"",IF(COUNTIFS($B$2:B61,B61,$C$2:C61,C61,$F$2:F61,F61)&gt;1,"Duplicate",""))</x:f>
      </x:c>
    </x:row>
    <x:row r="62" ht="30" customHeight="1">
      <x:c r="A62" s="21"/>
      <x:c r="B62" s="22"/>
      <x:c r="C62" s="22"/>
      <x:c r="D62" s="22"/>
      <x:c r="E62" s="22"/>
      <x:c r="F62" s="22"/>
      <x:c r="G62" s="21"/>
      <x:c r="H62" s="21"/>
      <x:c r="I62" s="23" t="str">
        <x:f>IF(A62="","",MAX(0,TODAY()-A62))</x:f>
      </x:c>
      <x:c r="J62" s="22" t="str">
        <x:f>IF(A62="","",IF(TODAY()-A62&lt;=1,"Today",IF(TODAY()-A62&lt;=7,"Last 7 days","Older")))</x:f>
      </x:c>
      <x:c r="K62" s="23"/>
      <x:c r="L62" s="22"/>
      <x:c r="M62" s="22"/>
      <x:c r="N62" s="24"/>
      <x:c r="O62" s="22"/>
      <x:c r="P62" s="22"/>
      <x:c r="Q62" s="22" t="str">
        <x:f>IF(OR(B62="",C62="",F62=""),"",IF(COUNTIFS($B$2:B62,B62,$C$2:C62,C62,$F$2:F62,F62)&gt;1,"Duplicate",""))</x:f>
      </x:c>
    </x:row>
    <x:row r="63" ht="30" customHeight="1">
      <x:c r="A63" s="21"/>
      <x:c r="B63" s="22"/>
      <x:c r="C63" s="22"/>
      <x:c r="D63" s="22"/>
      <x:c r="E63" s="22"/>
      <x:c r="F63" s="22"/>
      <x:c r="G63" s="21"/>
      <x:c r="H63" s="21"/>
      <x:c r="I63" s="23" t="str">
        <x:f>IF(A63="","",MAX(0,TODAY()-A63))</x:f>
      </x:c>
      <x:c r="J63" s="22" t="str">
        <x:f>IF(A63="","",IF(TODAY()-A63&lt;=1,"Today",IF(TODAY()-A63&lt;=7,"Last 7 days","Older")))</x:f>
      </x:c>
      <x:c r="K63" s="23"/>
      <x:c r="L63" s="22"/>
      <x:c r="M63" s="22"/>
      <x:c r="N63" s="24"/>
      <x:c r="O63" s="22"/>
      <x:c r="P63" s="22"/>
      <x:c r="Q63" s="22" t="str">
        <x:f>IF(OR(B63="",C63="",F63=""),"",IF(COUNTIFS($B$2:B63,B63,$C$2:C63,C63,$F$2:F63,F63)&gt;1,"Duplicate",""))</x:f>
      </x:c>
    </x:row>
    <x:row r="64" ht="30" customHeight="1">
      <x:c r="A64" s="21"/>
      <x:c r="B64" s="22"/>
      <x:c r="C64" s="22"/>
      <x:c r="D64" s="22"/>
      <x:c r="E64" s="22"/>
      <x:c r="F64" s="22"/>
      <x:c r="G64" s="21"/>
      <x:c r="H64" s="21"/>
      <x:c r="I64" s="23" t="str">
        <x:f>IF(A64="","",MAX(0,TODAY()-A64))</x:f>
      </x:c>
      <x:c r="J64" s="22" t="str">
        <x:f>IF(A64="","",IF(TODAY()-A64&lt;=1,"Today",IF(TODAY()-A64&lt;=7,"Last 7 days","Older")))</x:f>
      </x:c>
      <x:c r="K64" s="23"/>
      <x:c r="L64" s="22"/>
      <x:c r="M64" s="22"/>
      <x:c r="N64" s="24"/>
      <x:c r="O64" s="22"/>
      <x:c r="P64" s="22"/>
      <x:c r="Q64" s="22" t="str">
        <x:f>IF(OR(B64="",C64="",F64=""),"",IF(COUNTIFS($B$2:B64,B64,$C$2:C64,C64,$F$2:F64,F64)&gt;1,"Duplicate",""))</x:f>
      </x:c>
    </x:row>
    <x:row r="65" ht="30" customHeight="1">
      <x:c r="A65" s="21"/>
      <x:c r="B65" s="22"/>
      <x:c r="C65" s="22"/>
      <x:c r="D65" s="22"/>
      <x:c r="E65" s="22"/>
      <x:c r="F65" s="22"/>
      <x:c r="G65" s="21"/>
      <x:c r="H65" s="21"/>
      <x:c r="I65" s="23" t="str">
        <x:f>IF(A65="","",MAX(0,TODAY()-A65))</x:f>
      </x:c>
      <x:c r="J65" s="22" t="str">
        <x:f>IF(A65="","",IF(TODAY()-A65&lt;=1,"Today",IF(TODAY()-A65&lt;=7,"Last 7 days","Older")))</x:f>
      </x:c>
      <x:c r="K65" s="23"/>
      <x:c r="L65" s="22"/>
      <x:c r="M65" s="22"/>
      <x:c r="N65" s="24"/>
      <x:c r="O65" s="22"/>
      <x:c r="P65" s="22"/>
      <x:c r="Q65" s="22" t="str">
        <x:f>IF(OR(B65="",C65="",F65=""),"",IF(COUNTIFS($B$2:B65,B65,$C$2:C65,C65,$F$2:F65,F65)&gt;1,"Duplicate",""))</x:f>
      </x:c>
    </x:row>
    <x:row r="66" ht="30" customHeight="1">
      <x:c r="A66" s="21"/>
      <x:c r="B66" s="22"/>
      <x:c r="C66" s="22"/>
      <x:c r="D66" s="22"/>
      <x:c r="E66" s="22"/>
      <x:c r="F66" s="22"/>
      <x:c r="G66" s="21"/>
      <x:c r="H66" s="21"/>
      <x:c r="I66" s="23" t="str">
        <x:f>IF(A66="","",MAX(0,TODAY()-A66))</x:f>
      </x:c>
      <x:c r="J66" s="22" t="str">
        <x:f>IF(A66="","",IF(TODAY()-A66&lt;=1,"Today",IF(TODAY()-A66&lt;=7,"Last 7 days","Older")))</x:f>
      </x:c>
      <x:c r="K66" s="23"/>
      <x:c r="L66" s="22"/>
      <x:c r="M66" s="22"/>
      <x:c r="N66" s="24"/>
      <x:c r="O66" s="22"/>
      <x:c r="P66" s="22"/>
      <x:c r="Q66" s="22" t="str">
        <x:f>IF(OR(B66="",C66="",F66=""),"",IF(COUNTIFS($B$2:B66,B66,$C$2:C66,C66,$F$2:F66,F66)&gt;1,"Duplicate",""))</x:f>
      </x:c>
    </x:row>
    <x:row r="67" ht="30" customHeight="1">
      <x:c r="A67" s="21"/>
      <x:c r="B67" s="22"/>
      <x:c r="C67" s="22"/>
      <x:c r="D67" s="22"/>
      <x:c r="E67" s="22"/>
      <x:c r="F67" s="22"/>
      <x:c r="G67" s="21"/>
      <x:c r="H67" s="21"/>
      <x:c r="I67" s="23" t="str">
        <x:f>IF(A67="","",MAX(0,TODAY()-A67))</x:f>
      </x:c>
      <x:c r="J67" s="22" t="str">
        <x:f>IF(A67="","",IF(TODAY()-A67&lt;=1,"Today",IF(TODAY()-A67&lt;=7,"Last 7 days","Older")))</x:f>
      </x:c>
      <x:c r="K67" s="23"/>
      <x:c r="L67" s="22"/>
      <x:c r="M67" s="22"/>
      <x:c r="N67" s="24"/>
      <x:c r="O67" s="22"/>
      <x:c r="P67" s="22"/>
      <x:c r="Q67" s="22" t="str">
        <x:f>IF(OR(B67="",C67="",F67=""),"",IF(COUNTIFS($B$2:B67,B67,$C$2:C67,C67,$F$2:F67,F67)&gt;1,"Duplicate",""))</x:f>
      </x:c>
    </x:row>
    <x:row r="68" ht="30" customHeight="1">
      <x:c r="A68" s="21"/>
      <x:c r="B68" s="22"/>
      <x:c r="C68" s="22"/>
      <x:c r="D68" s="22"/>
      <x:c r="E68" s="22"/>
      <x:c r="F68" s="22"/>
      <x:c r="G68" s="21"/>
      <x:c r="H68" s="21"/>
      <x:c r="I68" s="23" t="str">
        <x:f>IF(A68="","",MAX(0,TODAY()-A68))</x:f>
      </x:c>
      <x:c r="J68" s="22" t="str">
        <x:f>IF(A68="","",IF(TODAY()-A68&lt;=1,"Today",IF(TODAY()-A68&lt;=7,"Last 7 days","Older")))</x:f>
      </x:c>
      <x:c r="K68" s="23"/>
      <x:c r="L68" s="22"/>
      <x:c r="M68" s="22"/>
      <x:c r="N68" s="24"/>
      <x:c r="O68" s="22"/>
      <x:c r="P68" s="22"/>
      <x:c r="Q68" s="22" t="str">
        <x:f>IF(OR(B68="",C68="",F68=""),"",IF(COUNTIFS($B$2:B68,B68,$C$2:C68,C68,$F$2:F68,F68)&gt;1,"Duplicate",""))</x:f>
      </x:c>
    </x:row>
    <x:row r="69" ht="30" customHeight="1">
      <x:c r="A69" s="21"/>
      <x:c r="B69" s="22"/>
      <x:c r="C69" s="22"/>
      <x:c r="D69" s="22"/>
      <x:c r="E69" s="22"/>
      <x:c r="F69" s="22"/>
      <x:c r="G69" s="21"/>
      <x:c r="H69" s="21"/>
      <x:c r="I69" s="23" t="str">
        <x:f>IF(A69="","",MAX(0,TODAY()-A69))</x:f>
      </x:c>
      <x:c r="J69" s="22" t="str">
        <x:f>IF(A69="","",IF(TODAY()-A69&lt;=1,"Today",IF(TODAY()-A69&lt;=7,"Last 7 days","Older")))</x:f>
      </x:c>
      <x:c r="K69" s="23"/>
      <x:c r="L69" s="22"/>
      <x:c r="M69" s="22"/>
      <x:c r="N69" s="24"/>
      <x:c r="O69" s="22"/>
      <x:c r="P69" s="22"/>
      <x:c r="Q69" s="22" t="str">
        <x:f>IF(OR(B69="",C69="",F69=""),"",IF(COUNTIFS($B$2:B69,B69,$C$2:C69,C69,$F$2:F69,F69)&gt;1,"Duplicate",""))</x:f>
      </x:c>
    </x:row>
    <x:row r="70" ht="30" customHeight="1">
      <x:c r="A70" s="21"/>
      <x:c r="B70" s="22"/>
      <x:c r="C70" s="22"/>
      <x:c r="D70" s="22"/>
      <x:c r="E70" s="22"/>
      <x:c r="F70" s="22"/>
      <x:c r="G70" s="21"/>
      <x:c r="H70" s="21"/>
      <x:c r="I70" s="23" t="str">
        <x:f>IF(A70="","",MAX(0,TODAY()-A70))</x:f>
      </x:c>
      <x:c r="J70" s="22" t="str">
        <x:f>IF(A70="","",IF(TODAY()-A70&lt;=1,"Today",IF(TODAY()-A70&lt;=7,"Last 7 days","Older")))</x:f>
      </x:c>
      <x:c r="K70" s="23"/>
      <x:c r="L70" s="22"/>
      <x:c r="M70" s="22"/>
      <x:c r="N70" s="24"/>
      <x:c r="O70" s="22"/>
      <x:c r="P70" s="22"/>
      <x:c r="Q70" s="22" t="str">
        <x:f>IF(OR(B70="",C70="",F70=""),"",IF(COUNTIFS($B$2:B70,B70,$C$2:C70,C70,$F$2:F70,F70)&gt;1,"Duplicate",""))</x:f>
      </x:c>
    </x:row>
    <x:row r="71" ht="30" customHeight="1">
      <x:c r="A71" s="21"/>
      <x:c r="B71" s="22"/>
      <x:c r="C71" s="22"/>
      <x:c r="D71" s="22"/>
      <x:c r="E71" s="22"/>
      <x:c r="F71" s="22"/>
      <x:c r="G71" s="21"/>
      <x:c r="H71" s="21"/>
      <x:c r="I71" s="23" t="str">
        <x:f>IF(A71="","",MAX(0,TODAY()-A71))</x:f>
      </x:c>
      <x:c r="J71" s="22" t="str">
        <x:f>IF(A71="","",IF(TODAY()-A71&lt;=1,"Today",IF(TODAY()-A71&lt;=7,"Last 7 days","Older")))</x:f>
      </x:c>
      <x:c r="K71" s="23"/>
      <x:c r="L71" s="22"/>
      <x:c r="M71" s="22"/>
      <x:c r="N71" s="24"/>
      <x:c r="O71" s="22"/>
      <x:c r="P71" s="22"/>
      <x:c r="Q71" s="22" t="str">
        <x:f>IF(OR(B71="",C71="",F71=""),"",IF(COUNTIFS($B$2:B71,B71,$C$2:C71,C71,$F$2:F71,F71)&gt;1,"Duplicate",""))</x:f>
      </x:c>
    </x:row>
    <x:row r="72" ht="30" customHeight="1">
      <x:c r="A72" s="21"/>
      <x:c r="B72" s="22"/>
      <x:c r="C72" s="22"/>
      <x:c r="D72" s="22"/>
      <x:c r="E72" s="22"/>
      <x:c r="F72" s="22"/>
      <x:c r="G72" s="21"/>
      <x:c r="H72" s="21"/>
      <x:c r="I72" s="23" t="str">
        <x:f>IF(A72="","",MAX(0,TODAY()-A72))</x:f>
      </x:c>
      <x:c r="J72" s="22" t="str">
        <x:f>IF(A72="","",IF(TODAY()-A72&lt;=1,"Today",IF(TODAY()-A72&lt;=7,"Last 7 days","Older")))</x:f>
      </x:c>
      <x:c r="K72" s="23"/>
      <x:c r="L72" s="22"/>
      <x:c r="M72" s="22"/>
      <x:c r="N72" s="24"/>
      <x:c r="O72" s="22"/>
      <x:c r="P72" s="22"/>
      <x:c r="Q72" s="22" t="str">
        <x:f>IF(OR(B72="",C72="",F72=""),"",IF(COUNTIFS($B$2:B72,B72,$C$2:C72,C72,$F$2:F72,F72)&gt;1,"Duplicate",""))</x:f>
      </x:c>
    </x:row>
    <x:row r="73" ht="30" customHeight="1">
      <x:c r="A73" s="21"/>
      <x:c r="B73" s="22"/>
      <x:c r="C73" s="22"/>
      <x:c r="D73" s="22"/>
      <x:c r="E73" s="22"/>
      <x:c r="F73" s="22"/>
      <x:c r="G73" s="21"/>
      <x:c r="H73" s="21"/>
      <x:c r="I73" s="23" t="str">
        <x:f>IF(A73="","",MAX(0,TODAY()-A73))</x:f>
      </x:c>
      <x:c r="J73" s="22" t="str">
        <x:f>IF(A73="","",IF(TODAY()-A73&lt;=1,"Today",IF(TODAY()-A73&lt;=7,"Last 7 days","Older")))</x:f>
      </x:c>
      <x:c r="K73" s="23"/>
      <x:c r="L73" s="22"/>
      <x:c r="M73" s="22"/>
      <x:c r="N73" s="24"/>
      <x:c r="O73" s="22"/>
      <x:c r="P73" s="22"/>
      <x:c r="Q73" s="22" t="str">
        <x:f>IF(OR(B73="",C73="",F73=""),"",IF(COUNTIFS($B$2:B73,B73,$C$2:C73,C73,$F$2:F73,F73)&gt;1,"Duplicate",""))</x:f>
      </x:c>
    </x:row>
    <x:row r="74" ht="30" customHeight="1">
      <x:c r="A74" s="21"/>
      <x:c r="B74" s="22"/>
      <x:c r="C74" s="22"/>
      <x:c r="D74" s="22"/>
      <x:c r="E74" s="22"/>
      <x:c r="F74" s="22"/>
      <x:c r="G74" s="21"/>
      <x:c r="H74" s="21"/>
      <x:c r="I74" s="23" t="str">
        <x:f>IF(A74="","",MAX(0,TODAY()-A74))</x:f>
      </x:c>
      <x:c r="J74" s="22" t="str">
        <x:f>IF(A74="","",IF(TODAY()-A74&lt;=1,"Today",IF(TODAY()-A74&lt;=7,"Last 7 days","Older")))</x:f>
      </x:c>
      <x:c r="K74" s="23"/>
      <x:c r="L74" s="22"/>
      <x:c r="M74" s="22"/>
      <x:c r="N74" s="24"/>
      <x:c r="O74" s="22"/>
      <x:c r="P74" s="22"/>
      <x:c r="Q74" s="22" t="str">
        <x:f>IF(OR(B74="",C74="",F74=""),"",IF(COUNTIFS($B$2:B74,B74,$C$2:C74,C74,$F$2:F74,F74)&gt;1,"Duplicate",""))</x:f>
      </x:c>
    </x:row>
    <x:row r="75" ht="30" customHeight="1">
      <x:c r="A75" s="21"/>
      <x:c r="B75" s="22"/>
      <x:c r="C75" s="22"/>
      <x:c r="D75" s="22"/>
      <x:c r="E75" s="22"/>
      <x:c r="F75" s="22"/>
      <x:c r="G75" s="21"/>
      <x:c r="H75" s="21"/>
      <x:c r="I75" s="23" t="str">
        <x:f>IF(A75="","",MAX(0,TODAY()-A75))</x:f>
      </x:c>
      <x:c r="J75" s="22" t="str">
        <x:f>IF(A75="","",IF(TODAY()-A75&lt;=1,"Today",IF(TODAY()-A75&lt;=7,"Last 7 days","Older")))</x:f>
      </x:c>
      <x:c r="K75" s="23"/>
      <x:c r="L75" s="22"/>
      <x:c r="M75" s="22"/>
      <x:c r="N75" s="24"/>
      <x:c r="O75" s="22"/>
      <x:c r="P75" s="22"/>
      <x:c r="Q75" s="22" t="str">
        <x:f>IF(OR(B75="",C75="",F75=""),"",IF(COUNTIFS($B$2:B75,B75,$C$2:C75,C75,$F$2:F75,F75)&gt;1,"Duplicate",""))</x:f>
      </x:c>
    </x:row>
    <x:row r="76" ht="30" customHeight="1">
      <x:c r="A76" s="21"/>
      <x:c r="B76" s="22"/>
      <x:c r="C76" s="22"/>
      <x:c r="D76" s="22"/>
      <x:c r="E76" s="22"/>
      <x:c r="F76" s="22"/>
      <x:c r="G76" s="21"/>
      <x:c r="H76" s="21"/>
      <x:c r="I76" s="23" t="str">
        <x:f>IF(A76="","",MAX(0,TODAY()-A76))</x:f>
      </x:c>
      <x:c r="J76" s="22" t="str">
        <x:f>IF(A76="","",IF(TODAY()-A76&lt;=1,"Today",IF(TODAY()-A76&lt;=7,"Last 7 days","Older")))</x:f>
      </x:c>
      <x:c r="K76" s="23"/>
      <x:c r="L76" s="22"/>
      <x:c r="M76" s="22"/>
      <x:c r="N76" s="24"/>
      <x:c r="O76" s="22"/>
      <x:c r="P76" s="22"/>
      <x:c r="Q76" s="22" t="str">
        <x:f>IF(OR(B76="",C76="",F76=""),"",IF(COUNTIFS($B$2:B76,B76,$C$2:C76,C76,$F$2:F76,F76)&gt;1,"Duplicate",""))</x:f>
      </x:c>
    </x:row>
    <x:row r="77" ht="30" customHeight="1">
      <x:c r="A77" s="21"/>
      <x:c r="B77" s="22"/>
      <x:c r="C77" s="22"/>
      <x:c r="D77" s="22"/>
      <x:c r="E77" s="22"/>
      <x:c r="F77" s="22"/>
      <x:c r="G77" s="21"/>
      <x:c r="H77" s="21"/>
      <x:c r="I77" s="23" t="str">
        <x:f>IF(A77="","",MAX(0,TODAY()-A77))</x:f>
      </x:c>
      <x:c r="J77" s="22" t="str">
        <x:f>IF(A77="","",IF(TODAY()-A77&lt;=1,"Today",IF(TODAY()-A77&lt;=7,"Last 7 days","Older")))</x:f>
      </x:c>
      <x:c r="K77" s="23"/>
      <x:c r="L77" s="22"/>
      <x:c r="M77" s="22"/>
      <x:c r="N77" s="24"/>
      <x:c r="O77" s="22"/>
      <x:c r="P77" s="22"/>
      <x:c r="Q77" s="22" t="str">
        <x:f>IF(OR(B77="",C77="",F77=""),"",IF(COUNTIFS($B$2:B77,B77,$C$2:C77,C77,$F$2:F77,F77)&gt;1,"Duplicate",""))</x:f>
      </x:c>
    </x:row>
    <x:row r="78" ht="30" customHeight="1">
      <x:c r="A78" s="21"/>
      <x:c r="B78" s="22"/>
      <x:c r="C78" s="22"/>
      <x:c r="D78" s="22"/>
      <x:c r="E78" s="22"/>
      <x:c r="F78" s="22"/>
      <x:c r="G78" s="21"/>
      <x:c r="H78" s="21"/>
      <x:c r="I78" s="23" t="str">
        <x:f>IF(A78="","",MAX(0,TODAY()-A78))</x:f>
      </x:c>
      <x:c r="J78" s="22" t="str">
        <x:f>IF(A78="","",IF(TODAY()-A78&lt;=1,"Today",IF(TODAY()-A78&lt;=7,"Last 7 days","Older")))</x:f>
      </x:c>
      <x:c r="K78" s="23"/>
      <x:c r="L78" s="22"/>
      <x:c r="M78" s="22"/>
      <x:c r="N78" s="24"/>
      <x:c r="O78" s="22"/>
      <x:c r="P78" s="22"/>
      <x:c r="Q78" s="22" t="str">
        <x:f>IF(OR(B78="",C78="",F78=""),"",IF(COUNTIFS($B$2:B78,B78,$C$2:C78,C78,$F$2:F78,F78)&gt;1,"Duplicate",""))</x:f>
      </x:c>
    </x:row>
    <x:row r="79" ht="30" customHeight="1">
      <x:c r="A79" s="21"/>
      <x:c r="B79" s="22"/>
      <x:c r="C79" s="22"/>
      <x:c r="D79" s="22"/>
      <x:c r="E79" s="22"/>
      <x:c r="F79" s="22"/>
      <x:c r="G79" s="21"/>
      <x:c r="H79" s="21"/>
      <x:c r="I79" s="23" t="str">
        <x:f>IF(A79="","",MAX(0,TODAY()-A79))</x:f>
      </x:c>
      <x:c r="J79" s="22" t="str">
        <x:f>IF(A79="","",IF(TODAY()-A79&lt;=1,"Today",IF(TODAY()-A79&lt;=7,"Last 7 days","Older")))</x:f>
      </x:c>
      <x:c r="K79" s="23"/>
      <x:c r="L79" s="22"/>
      <x:c r="M79" s="22"/>
      <x:c r="N79" s="24"/>
      <x:c r="O79" s="22"/>
      <x:c r="P79" s="22"/>
      <x:c r="Q79" s="22" t="str">
        <x:f>IF(OR(B79="",C79="",F79=""),"",IF(COUNTIFS($B$2:B79,B79,$C$2:C79,C79,$F$2:F79,F79)&gt;1,"Duplicate",""))</x:f>
      </x:c>
    </x:row>
    <x:row r="80" ht="30" customHeight="1">
      <x:c r="A80" s="21"/>
      <x:c r="B80" s="22"/>
      <x:c r="C80" s="22"/>
      <x:c r="D80" s="22"/>
      <x:c r="E80" s="22"/>
      <x:c r="F80" s="22"/>
      <x:c r="G80" s="21"/>
      <x:c r="H80" s="21"/>
      <x:c r="I80" s="23" t="str">
        <x:f>IF(A80="","",MAX(0,TODAY()-A80))</x:f>
      </x:c>
      <x:c r="J80" s="22" t="str">
        <x:f>IF(A80="","",IF(TODAY()-A80&lt;=1,"Today",IF(TODAY()-A80&lt;=7,"Last 7 days","Older")))</x:f>
      </x:c>
      <x:c r="K80" s="23"/>
      <x:c r="L80" s="22"/>
      <x:c r="M80" s="22"/>
      <x:c r="N80" s="24"/>
      <x:c r="O80" s="22"/>
      <x:c r="P80" s="22"/>
      <x:c r="Q80" s="22" t="str">
        <x:f>IF(OR(B80="",C80="",F80=""),"",IF(COUNTIFS($B$2:B80,B80,$C$2:C80,C80,$F$2:F80,F80)&gt;1,"Duplicate",""))</x:f>
      </x:c>
    </x:row>
    <x:row r="81" ht="30" customHeight="1">
      <x:c r="A81" s="21"/>
      <x:c r="B81" s="22"/>
      <x:c r="C81" s="22"/>
      <x:c r="D81" s="22"/>
      <x:c r="E81" s="22"/>
      <x:c r="F81" s="22"/>
      <x:c r="G81" s="21"/>
      <x:c r="H81" s="21"/>
      <x:c r="I81" s="23" t="str">
        <x:f>IF(A81="","",MAX(0,TODAY()-A81))</x:f>
      </x:c>
      <x:c r="J81" s="22" t="str">
        <x:f>IF(A81="","",IF(TODAY()-A81&lt;=1,"Today",IF(TODAY()-A81&lt;=7,"Last 7 days","Older")))</x:f>
      </x:c>
      <x:c r="K81" s="23"/>
      <x:c r="L81" s="22"/>
      <x:c r="M81" s="22"/>
      <x:c r="N81" s="24"/>
      <x:c r="O81" s="22"/>
      <x:c r="P81" s="22"/>
      <x:c r="Q81" s="22" t="str">
        <x:f>IF(OR(B81="",C81="",F81=""),"",IF(COUNTIFS($B$2:B81,B81,$C$2:C81,C81,$F$2:F81,F81)&gt;1,"Duplicate",""))</x:f>
      </x:c>
    </x:row>
    <x:row r="82" ht="30" customHeight="1">
      <x:c r="A82" s="21"/>
      <x:c r="B82" s="22"/>
      <x:c r="C82" s="22"/>
      <x:c r="D82" s="22"/>
      <x:c r="E82" s="22"/>
      <x:c r="F82" s="22"/>
      <x:c r="G82" s="21"/>
      <x:c r="H82" s="21"/>
      <x:c r="I82" s="23" t="str">
        <x:f>IF(A82="","",MAX(0,TODAY()-A82))</x:f>
      </x:c>
      <x:c r="J82" s="22" t="str">
        <x:f>IF(A82="","",IF(TODAY()-A82&lt;=1,"Today",IF(TODAY()-A82&lt;=7,"Last 7 days","Older")))</x:f>
      </x:c>
      <x:c r="K82" s="23"/>
      <x:c r="L82" s="22"/>
      <x:c r="M82" s="22"/>
      <x:c r="N82" s="24"/>
      <x:c r="O82" s="22"/>
      <x:c r="P82" s="22"/>
      <x:c r="Q82" s="22" t="str">
        <x:f>IF(OR(B82="",C82="",F82=""),"",IF(COUNTIFS($B$2:B82,B82,$C$2:C82,C82,$F$2:F82,F82)&gt;1,"Duplicate",""))</x:f>
      </x:c>
    </x:row>
    <x:row r="83" ht="30" customHeight="1">
      <x:c r="A83" s="21"/>
      <x:c r="B83" s="22"/>
      <x:c r="C83" s="22"/>
      <x:c r="D83" s="22"/>
      <x:c r="E83" s="22"/>
      <x:c r="F83" s="22"/>
      <x:c r="G83" s="21"/>
      <x:c r="H83" s="21"/>
      <x:c r="I83" s="23" t="str">
        <x:f>IF(A83="","",MAX(0,TODAY()-A83))</x:f>
      </x:c>
      <x:c r="J83" s="22" t="str">
        <x:f>IF(A83="","",IF(TODAY()-A83&lt;=1,"Today",IF(TODAY()-A83&lt;=7,"Last 7 days","Older")))</x:f>
      </x:c>
      <x:c r="K83" s="23"/>
      <x:c r="L83" s="22"/>
      <x:c r="M83" s="22"/>
      <x:c r="N83" s="24"/>
      <x:c r="O83" s="22"/>
      <x:c r="P83" s="22"/>
      <x:c r="Q83" s="22" t="str">
        <x:f>IF(OR(B83="",C83="",F83=""),"",IF(COUNTIFS($B$2:B83,B83,$C$2:C83,C83,$F$2:F83,F83)&gt;1,"Duplicate",""))</x:f>
      </x:c>
    </x:row>
    <x:row r="84" ht="30" customHeight="1">
      <x:c r="A84" s="21"/>
      <x:c r="B84" s="22"/>
      <x:c r="C84" s="22"/>
      <x:c r="D84" s="22"/>
      <x:c r="E84" s="22"/>
      <x:c r="F84" s="22"/>
      <x:c r="G84" s="21"/>
      <x:c r="H84" s="21"/>
      <x:c r="I84" s="23" t="str">
        <x:f>IF(A84="","",MAX(0,TODAY()-A84))</x:f>
      </x:c>
      <x:c r="J84" s="22" t="str">
        <x:f>IF(A84="","",IF(TODAY()-A84&lt;=1,"Today",IF(TODAY()-A84&lt;=7,"Last 7 days","Older")))</x:f>
      </x:c>
      <x:c r="K84" s="23"/>
      <x:c r="L84" s="22"/>
      <x:c r="M84" s="22"/>
      <x:c r="N84" s="24"/>
      <x:c r="O84" s="22"/>
      <x:c r="P84" s="22"/>
      <x:c r="Q84" s="22" t="str">
        <x:f>IF(OR(B84="",C84="",F84=""),"",IF(COUNTIFS($B$2:B84,B84,$C$2:C84,C84,$F$2:F84,F84)&gt;1,"Duplicate",""))</x:f>
      </x:c>
    </x:row>
    <x:row r="85" ht="30" customHeight="1">
      <x:c r="A85" s="21"/>
      <x:c r="B85" s="22"/>
      <x:c r="C85" s="22"/>
      <x:c r="D85" s="22"/>
      <x:c r="E85" s="22"/>
      <x:c r="F85" s="22"/>
      <x:c r="G85" s="21"/>
      <x:c r="H85" s="21"/>
      <x:c r="I85" s="23" t="str">
        <x:f>IF(A85="","",MAX(0,TODAY()-A85))</x:f>
      </x:c>
      <x:c r="J85" s="22" t="str">
        <x:f>IF(A85="","",IF(TODAY()-A85&lt;=1,"Today",IF(TODAY()-A85&lt;=7,"Last 7 days","Older")))</x:f>
      </x:c>
      <x:c r="K85" s="23"/>
      <x:c r="L85" s="22"/>
      <x:c r="M85" s="22"/>
      <x:c r="N85" s="24"/>
      <x:c r="O85" s="22"/>
      <x:c r="P85" s="22"/>
      <x:c r="Q85" s="22" t="str">
        <x:f>IF(OR(B85="",C85="",F85=""),"",IF(COUNTIFS($B$2:B85,B85,$C$2:C85,C85,$F$2:F85,F85)&gt;1,"Duplicate",""))</x:f>
      </x:c>
    </x:row>
    <x:row r="86" ht="30" customHeight="1">
      <x:c r="A86" s="21"/>
      <x:c r="B86" s="22"/>
      <x:c r="C86" s="22"/>
      <x:c r="D86" s="22"/>
      <x:c r="E86" s="22"/>
      <x:c r="F86" s="22"/>
      <x:c r="G86" s="21"/>
      <x:c r="H86" s="21"/>
      <x:c r="I86" s="23" t="str">
        <x:f>IF(A86="","",MAX(0,TODAY()-A86))</x:f>
      </x:c>
      <x:c r="J86" s="22" t="str">
        <x:f>IF(A86="","",IF(TODAY()-A86&lt;=1,"Today",IF(TODAY()-A86&lt;=7,"Last 7 days","Older")))</x:f>
      </x:c>
      <x:c r="K86" s="23"/>
      <x:c r="L86" s="22"/>
      <x:c r="M86" s="22"/>
      <x:c r="N86" s="24"/>
      <x:c r="O86" s="22"/>
      <x:c r="P86" s="22"/>
      <x:c r="Q86" s="22" t="str">
        <x:f>IF(OR(B86="",C86="",F86=""),"",IF(COUNTIFS($B$2:B86,B86,$C$2:C86,C86,$F$2:F86,F86)&gt;1,"Duplicate",""))</x:f>
      </x:c>
    </x:row>
    <x:row r="87" ht="30" customHeight="1">
      <x:c r="A87" s="21"/>
      <x:c r="B87" s="22"/>
      <x:c r="C87" s="22"/>
      <x:c r="D87" s="22"/>
      <x:c r="E87" s="22"/>
      <x:c r="F87" s="22"/>
      <x:c r="G87" s="21"/>
      <x:c r="H87" s="21"/>
      <x:c r="I87" s="23" t="str">
        <x:f>IF(A87="","",MAX(0,TODAY()-A87))</x:f>
      </x:c>
      <x:c r="J87" s="22" t="str">
        <x:f>IF(A87="","",IF(TODAY()-A87&lt;=1,"Today",IF(TODAY()-A87&lt;=7,"Last 7 days","Older")))</x:f>
      </x:c>
      <x:c r="K87" s="23"/>
      <x:c r="L87" s="22"/>
      <x:c r="M87" s="22"/>
      <x:c r="N87" s="24"/>
      <x:c r="O87" s="22"/>
      <x:c r="P87" s="22"/>
      <x:c r="Q87" s="22" t="str">
        <x:f>IF(OR(B87="",C87="",F87=""),"",IF(COUNTIFS($B$2:B87,B87,$C$2:C87,C87,$F$2:F87,F87)&gt;1,"Duplicate",""))</x:f>
      </x:c>
    </x:row>
    <x:row r="88" ht="30" customHeight="1">
      <x:c r="A88" s="21"/>
      <x:c r="B88" s="22"/>
      <x:c r="C88" s="22"/>
      <x:c r="D88" s="22"/>
      <x:c r="E88" s="22"/>
      <x:c r="F88" s="22"/>
      <x:c r="G88" s="21"/>
      <x:c r="H88" s="21"/>
      <x:c r="I88" s="23" t="str">
        <x:f>IF(A88="","",MAX(0,TODAY()-A88))</x:f>
      </x:c>
      <x:c r="J88" s="22" t="str">
        <x:f>IF(A88="","",IF(TODAY()-A88&lt;=1,"Today",IF(TODAY()-A88&lt;=7,"Last 7 days","Older")))</x:f>
      </x:c>
      <x:c r="K88" s="23"/>
      <x:c r="L88" s="22"/>
      <x:c r="M88" s="22"/>
      <x:c r="N88" s="24"/>
      <x:c r="O88" s="22"/>
      <x:c r="P88" s="22"/>
      <x:c r="Q88" s="22" t="str">
        <x:f>IF(OR(B88="",C88="",F88=""),"",IF(COUNTIFS($B$2:B88,B88,$C$2:C88,C88,$F$2:F88,F88)&gt;1,"Duplicate",""))</x:f>
      </x:c>
    </x:row>
    <x:row r="89" ht="30" customHeight="1">
      <x:c r="A89" s="21"/>
      <x:c r="B89" s="22"/>
      <x:c r="C89" s="22"/>
      <x:c r="D89" s="22"/>
      <x:c r="E89" s="22"/>
      <x:c r="F89" s="22"/>
      <x:c r="G89" s="21"/>
      <x:c r="H89" s="21"/>
      <x:c r="I89" s="23" t="str">
        <x:f>IF(A89="","",MAX(0,TODAY()-A89))</x:f>
      </x:c>
      <x:c r="J89" s="22" t="str">
        <x:f>IF(A89="","",IF(TODAY()-A89&lt;=1,"Today",IF(TODAY()-A89&lt;=7,"Last 7 days","Older")))</x:f>
      </x:c>
      <x:c r="K89" s="23"/>
      <x:c r="L89" s="22"/>
      <x:c r="M89" s="22"/>
      <x:c r="N89" s="24"/>
      <x:c r="O89" s="22"/>
      <x:c r="P89" s="22"/>
      <x:c r="Q89" s="22" t="str">
        <x:f>IF(OR(B89="",C89="",F89=""),"",IF(COUNTIFS($B$2:B89,B89,$C$2:C89,C89,$F$2:F89,F89)&gt;1,"Duplicate",""))</x:f>
      </x:c>
    </x:row>
    <x:row r="90" ht="30" customHeight="1">
      <x:c r="A90" s="21"/>
      <x:c r="B90" s="22"/>
      <x:c r="C90" s="22"/>
      <x:c r="D90" s="22"/>
      <x:c r="E90" s="22"/>
      <x:c r="F90" s="22"/>
      <x:c r="G90" s="21"/>
      <x:c r="H90" s="21"/>
      <x:c r="I90" s="23" t="str">
        <x:f>IF(A90="","",MAX(0,TODAY()-A90))</x:f>
      </x:c>
      <x:c r="J90" s="22" t="str">
        <x:f>IF(A90="","",IF(TODAY()-A90&lt;=1,"Today",IF(TODAY()-A90&lt;=7,"Last 7 days","Older")))</x:f>
      </x:c>
      <x:c r="K90" s="23"/>
      <x:c r="L90" s="22"/>
      <x:c r="M90" s="22"/>
      <x:c r="N90" s="24"/>
      <x:c r="O90" s="22"/>
      <x:c r="P90" s="22"/>
      <x:c r="Q90" s="22" t="str">
        <x:f>IF(OR(B90="",C90="",F90=""),"",IF(COUNTIFS($B$2:B90,B90,$C$2:C90,C90,$F$2:F90,F90)&gt;1,"Duplicate",""))</x:f>
      </x:c>
    </x:row>
    <x:row r="91" ht="30" customHeight="1">
      <x:c r="A91" s="21"/>
      <x:c r="B91" s="22"/>
      <x:c r="C91" s="22"/>
      <x:c r="D91" s="22"/>
      <x:c r="E91" s="22"/>
      <x:c r="F91" s="22"/>
      <x:c r="G91" s="21"/>
      <x:c r="H91" s="21"/>
      <x:c r="I91" s="23" t="str">
        <x:f>IF(A91="","",MAX(0,TODAY()-A91))</x:f>
      </x:c>
      <x:c r="J91" s="22" t="str">
        <x:f>IF(A91="","",IF(TODAY()-A91&lt;=1,"Today",IF(TODAY()-A91&lt;=7,"Last 7 days","Older")))</x:f>
      </x:c>
      <x:c r="K91" s="23"/>
      <x:c r="L91" s="22"/>
      <x:c r="M91" s="22"/>
      <x:c r="N91" s="24"/>
      <x:c r="O91" s="22"/>
      <x:c r="P91" s="22"/>
      <x:c r="Q91" s="22" t="str">
        <x:f>IF(OR(B91="",C91="",F91=""),"",IF(COUNTIFS($B$2:B91,B91,$C$2:C91,C91,$F$2:F91,F91)&gt;1,"Duplicate",""))</x:f>
      </x:c>
    </x:row>
    <x:row r="92" ht="30" customHeight="1">
      <x:c r="A92" s="21"/>
      <x:c r="B92" s="22"/>
      <x:c r="C92" s="22"/>
      <x:c r="D92" s="22"/>
      <x:c r="E92" s="22"/>
      <x:c r="F92" s="22"/>
      <x:c r="G92" s="21"/>
      <x:c r="H92" s="21"/>
      <x:c r="I92" s="23" t="str">
        <x:f>IF(A92="","",MAX(0,TODAY()-A92))</x:f>
      </x:c>
      <x:c r="J92" s="22" t="str">
        <x:f>IF(A92="","",IF(TODAY()-A92&lt;=1,"Today",IF(TODAY()-A92&lt;=7,"Last 7 days","Older")))</x:f>
      </x:c>
      <x:c r="K92" s="23"/>
      <x:c r="L92" s="22"/>
      <x:c r="M92" s="22"/>
      <x:c r="N92" s="24"/>
      <x:c r="O92" s="22"/>
      <x:c r="P92" s="22"/>
      <x:c r="Q92" s="22" t="str">
        <x:f>IF(OR(B92="",C92="",F92=""),"",IF(COUNTIFS($B$2:B92,B92,$C$2:C92,C92,$F$2:F92,F92)&gt;1,"Duplicate",""))</x:f>
      </x:c>
    </x:row>
    <x:row r="93" ht="30" customHeight="1">
      <x:c r="A93" s="21"/>
      <x:c r="B93" s="22"/>
      <x:c r="C93" s="22"/>
      <x:c r="D93" s="22"/>
      <x:c r="E93" s="22"/>
      <x:c r="F93" s="22"/>
      <x:c r="G93" s="21"/>
      <x:c r="H93" s="21"/>
      <x:c r="I93" s="23" t="str">
        <x:f>IF(A93="","",MAX(0,TODAY()-A93))</x:f>
      </x:c>
      <x:c r="J93" s="22" t="str">
        <x:f>IF(A93="","",IF(TODAY()-A93&lt;=1,"Today",IF(TODAY()-A93&lt;=7,"Last 7 days","Older")))</x:f>
      </x:c>
      <x:c r="K93" s="23"/>
      <x:c r="L93" s="22"/>
      <x:c r="M93" s="22"/>
      <x:c r="N93" s="24"/>
      <x:c r="O93" s="22"/>
      <x:c r="P93" s="22"/>
      <x:c r="Q93" s="22" t="str">
        <x:f>IF(OR(B93="",C93="",F93=""),"",IF(COUNTIFS($B$2:B93,B93,$C$2:C93,C93,$F$2:F93,F93)&gt;1,"Duplicate",""))</x:f>
      </x:c>
    </x:row>
    <x:row r="94" ht="30" customHeight="1">
      <x:c r="A94" s="21"/>
      <x:c r="B94" s="22"/>
      <x:c r="C94" s="22"/>
      <x:c r="D94" s="22"/>
      <x:c r="E94" s="22"/>
      <x:c r="F94" s="22"/>
      <x:c r="G94" s="21"/>
      <x:c r="H94" s="21"/>
      <x:c r="I94" s="23" t="str">
        <x:f>IF(A94="","",MAX(0,TODAY()-A94))</x:f>
      </x:c>
      <x:c r="J94" s="22" t="str">
        <x:f>IF(A94="","",IF(TODAY()-A94&lt;=1,"Today",IF(TODAY()-A94&lt;=7,"Last 7 days","Older")))</x:f>
      </x:c>
      <x:c r="K94" s="23"/>
      <x:c r="L94" s="22"/>
      <x:c r="M94" s="22"/>
      <x:c r="N94" s="24"/>
      <x:c r="O94" s="22"/>
      <x:c r="P94" s="22"/>
      <x:c r="Q94" s="22" t="str">
        <x:f>IF(OR(B94="",C94="",F94=""),"",IF(COUNTIFS($B$2:B94,B94,$C$2:C94,C94,$F$2:F94,F94)&gt;1,"Duplicate",""))</x:f>
      </x:c>
    </x:row>
    <x:row r="95" ht="30" customHeight="1">
      <x:c r="A95" s="21"/>
      <x:c r="B95" s="22"/>
      <x:c r="C95" s="22"/>
      <x:c r="D95" s="22"/>
      <x:c r="E95" s="22"/>
      <x:c r="F95" s="22"/>
      <x:c r="G95" s="21"/>
      <x:c r="H95" s="21"/>
      <x:c r="I95" s="23" t="str">
        <x:f>IF(A95="","",MAX(0,TODAY()-A95))</x:f>
      </x:c>
      <x:c r="J95" s="22" t="str">
        <x:f>IF(A95="","",IF(TODAY()-A95&lt;=1,"Today",IF(TODAY()-A95&lt;=7,"Last 7 days","Older")))</x:f>
      </x:c>
      <x:c r="K95" s="23"/>
      <x:c r="L95" s="22"/>
      <x:c r="M95" s="22"/>
      <x:c r="N95" s="24"/>
      <x:c r="O95" s="22"/>
      <x:c r="P95" s="22"/>
      <x:c r="Q95" s="22" t="str">
        <x:f>IF(OR(B95="",C95="",F95=""),"",IF(COUNTIFS($B$2:B95,B95,$C$2:C95,C95,$F$2:F95,F95)&gt;1,"Duplicate",""))</x:f>
      </x:c>
    </x:row>
    <x:row r="96" ht="30" customHeight="1">
      <x:c r="A96" s="21"/>
      <x:c r="B96" s="22"/>
      <x:c r="C96" s="22"/>
      <x:c r="D96" s="22"/>
      <x:c r="E96" s="22"/>
      <x:c r="F96" s="22"/>
      <x:c r="G96" s="21"/>
      <x:c r="H96" s="21"/>
      <x:c r="I96" s="23" t="str">
        <x:f>IF(A96="","",MAX(0,TODAY()-A96))</x:f>
      </x:c>
      <x:c r="J96" s="22" t="str">
        <x:f>IF(A96="","",IF(TODAY()-A96&lt;=1,"Today",IF(TODAY()-A96&lt;=7,"Last 7 days","Older")))</x:f>
      </x:c>
      <x:c r="K96" s="23"/>
      <x:c r="L96" s="22"/>
      <x:c r="M96" s="22"/>
      <x:c r="N96" s="24"/>
      <x:c r="O96" s="22"/>
      <x:c r="P96" s="22"/>
      <x:c r="Q96" s="22" t="str">
        <x:f>IF(OR(B96="",C96="",F96=""),"",IF(COUNTIFS($B$2:B96,B96,$C$2:C96,C96,$F$2:F96,F96)&gt;1,"Duplicate",""))</x:f>
      </x:c>
    </x:row>
    <x:row r="97" ht="30" customHeight="1">
      <x:c r="A97" s="21"/>
      <x:c r="B97" s="22"/>
      <x:c r="C97" s="22"/>
      <x:c r="D97" s="22"/>
      <x:c r="E97" s="22"/>
      <x:c r="F97" s="22"/>
      <x:c r="G97" s="21"/>
      <x:c r="H97" s="21"/>
      <x:c r="I97" s="23" t="str">
        <x:f>IF(A97="","",MAX(0,TODAY()-A97))</x:f>
      </x:c>
      <x:c r="J97" s="22" t="str">
        <x:f>IF(A97="","",IF(TODAY()-A97&lt;=1,"Today",IF(TODAY()-A97&lt;=7,"Last 7 days","Older")))</x:f>
      </x:c>
      <x:c r="K97" s="23"/>
      <x:c r="L97" s="22"/>
      <x:c r="M97" s="22"/>
      <x:c r="N97" s="24"/>
      <x:c r="O97" s="22"/>
      <x:c r="P97" s="22"/>
      <x:c r="Q97" s="22" t="str">
        <x:f>IF(OR(B97="",C97="",F97=""),"",IF(COUNTIFS($B$2:B97,B97,$C$2:C97,C97,$F$2:F97,F97)&gt;1,"Duplicate",""))</x:f>
      </x:c>
    </x:row>
    <x:row r="98" ht="30" customHeight="1">
      <x:c r="A98" s="21"/>
      <x:c r="B98" s="22"/>
      <x:c r="C98" s="22"/>
      <x:c r="D98" s="22"/>
      <x:c r="E98" s="22"/>
      <x:c r="F98" s="22"/>
      <x:c r="G98" s="21"/>
      <x:c r="H98" s="21"/>
      <x:c r="I98" s="23" t="str">
        <x:f>IF(A98="","",MAX(0,TODAY()-A98))</x:f>
      </x:c>
      <x:c r="J98" s="22" t="str">
        <x:f>IF(A98="","",IF(TODAY()-A98&lt;=1,"Today",IF(TODAY()-A98&lt;=7,"Last 7 days","Older")))</x:f>
      </x:c>
      <x:c r="K98" s="23"/>
      <x:c r="L98" s="22"/>
      <x:c r="M98" s="22"/>
      <x:c r="N98" s="24"/>
      <x:c r="O98" s="22"/>
      <x:c r="P98" s="22"/>
      <x:c r="Q98" s="22" t="str">
        <x:f>IF(OR(B98="",C98="",F98=""),"",IF(COUNTIFS($B$2:B98,B98,$C$2:C98,C98,$F$2:F98,F98)&gt;1,"Duplicate",""))</x:f>
      </x:c>
    </x:row>
    <x:row r="99" ht="30" customHeight="1">
      <x:c r="A99" s="21"/>
      <x:c r="B99" s="22"/>
      <x:c r="C99" s="22"/>
      <x:c r="D99" s="22"/>
      <x:c r="E99" s="22"/>
      <x:c r="F99" s="22"/>
      <x:c r="G99" s="21"/>
      <x:c r="H99" s="21"/>
      <x:c r="I99" s="23" t="str">
        <x:f>IF(A99="","",MAX(0,TODAY()-A99))</x:f>
      </x:c>
      <x:c r="J99" s="22" t="str">
        <x:f>IF(A99="","",IF(TODAY()-A99&lt;=1,"Today",IF(TODAY()-A99&lt;=7,"Last 7 days","Older")))</x:f>
      </x:c>
      <x:c r="K99" s="23"/>
      <x:c r="L99" s="22"/>
      <x:c r="M99" s="22"/>
      <x:c r="N99" s="24"/>
      <x:c r="O99" s="22"/>
      <x:c r="P99" s="22"/>
      <x:c r="Q99" s="22" t="str">
        <x:f>IF(OR(B99="",C99="",F99=""),"",IF(COUNTIFS($B$2:B99,B99,$C$2:C99,C99,$F$2:F99,F99)&gt;1,"Duplicate",""))</x:f>
      </x:c>
    </x:row>
    <x:row r="100" ht="30" customHeight="1">
      <x:c r="A100" s="21"/>
      <x:c r="B100" s="22"/>
      <x:c r="C100" s="22"/>
      <x:c r="D100" s="22"/>
      <x:c r="E100" s="22"/>
      <x:c r="F100" s="22"/>
      <x:c r="G100" s="21"/>
      <x:c r="H100" s="21"/>
      <x:c r="I100" s="23" t="str">
        <x:f>IF(A100="","",MAX(0,TODAY()-A100))</x:f>
      </x:c>
      <x:c r="J100" s="22" t="str">
        <x:f>IF(A100="","",IF(TODAY()-A100&lt;=1,"Today",IF(TODAY()-A100&lt;=7,"Last 7 days","Older")))</x:f>
      </x:c>
      <x:c r="K100" s="23"/>
      <x:c r="L100" s="22"/>
      <x:c r="M100" s="22"/>
      <x:c r="N100" s="24"/>
      <x:c r="O100" s="22"/>
      <x:c r="P100" s="22"/>
      <x:c r="Q100" s="22" t="str">
        <x:f>IF(OR(B100="",C100="",F100=""),"",IF(COUNTIFS($B$2:B100,B100,$C$2:C100,C100,$F$2:F100,F100)&gt;1,"Duplicate",""))</x:f>
      </x:c>
    </x:row>
    <x:row r="101" ht="30" customHeight="1">
      <x:c r="A101" s="21"/>
      <x:c r="B101" s="22"/>
      <x:c r="C101" s="22"/>
      <x:c r="D101" s="22"/>
      <x:c r="E101" s="22"/>
      <x:c r="F101" s="22"/>
      <x:c r="G101" s="21"/>
      <x:c r="H101" s="21"/>
      <x:c r="I101" s="23" t="str">
        <x:f>IF(A101="","",MAX(0,TODAY()-A101))</x:f>
      </x:c>
      <x:c r="J101" s="22" t="str">
        <x:f>IF(A101="","",IF(TODAY()-A101&lt;=1,"Today",IF(TODAY()-A101&lt;=7,"Last 7 days","Older")))</x:f>
      </x:c>
      <x:c r="K101" s="23"/>
      <x:c r="L101" s="22"/>
      <x:c r="M101" s="22"/>
      <x:c r="N101" s="24"/>
      <x:c r="O101" s="22"/>
      <x:c r="P101" s="22"/>
      <x:c r="Q101" s="22" t="str">
        <x:f>IF(OR(B101="",C101="",F101=""),"",IF(COUNTIFS($B$2:B101,B101,$C$2:C101,C101,$F$2:F101,F101)&gt;1,"Duplicate",""))</x:f>
      </x:c>
    </x:row>
  </x:sheetData>
  <x:conditionalFormatting sqref="J2:J101">
    <x:cfRule type="containsText" dxfId="0" priority="1" operator="containsText" text="Today"/>
    <x:cfRule type="containsText" dxfId="1" priority="2" operator="containsText" text="Last 7 days"/>
    <x:cfRule type="containsText" dxfId="2" priority="3" operator="containsText" text="Older"/>
  </x:conditionalFormatting>
  <x:conditionalFormatting sqref="K2:K101">
    <x:cfRule type="colorScale" priority="4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conditionalFormatting sqref="L2:L101">
    <x:cfRule type="containsText" dxfId="3" priority="5" operator="containsText" text="Apply immediately"/>
    <x:cfRule type="containsText" dxfId="4" priority="6" operator="containsText" text="Strong option"/>
  </x:conditionalFormatting>
  <x:conditionalFormatting sqref="M2:M101">
    <x:cfRule type="containsText" dxfId="5" priority="7" operator="containsText" text="Applied"/>
    <x:cfRule type="containsText" dxfId="6" priority="8" operator="containsText" text="Interview"/>
  </x:conditionalFormatting>
  <x:conditionalFormatting sqref="Q2:Q101">
    <x:cfRule type="containsText" dxfId="7" priority="9" operator="containsText" text="Duplicate"/>
  </x:conditionalFormatting>
  <x:conditionalFormatting sqref="H2:H101">
    <x:cfRule type="expression" dxfId="8" priority="10">
      <x:formula>AND($H2&lt;&gt;"",$H2&gt;=TODAY(),$H2&lt;=TODAY()+7)</x:formula>
    </x:cfRule>
  </x:conditionalFormatting>
  <x:dataValidations count="4">
    <x:dataValidation type="list" sqref="E2:E101">
      <x:formula1>'Lists'!$A$2:$A$5</x:formula1>
    </x:dataValidation>
    <x:dataValidation type="whole" operator="between" sqref="K2:K101">
      <x:formula1>0</x:formula1>
      <x:formula2>100</x:formula2>
    </x:dataValidation>
    <x:dataValidation type="list" sqref="L2:L101">
      <x:formula1>'Lists'!$B$2:$B$6</x:formula1>
    </x:dataValidation>
    <x:dataValidation type="list" sqref="M2:M101">
      <x:formula1>'Lists'!$C$2:$C$9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5cd069d23ae424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2" hidden="0" customWidth="1"/>
    <x:col min="3" max="3" width="22" hidden="0" customWidth="1"/>
  </x:cols>
  <x:sheetData>
    <x:row r="1">
      <x:c r="A1" s="3" t="str">
        <x:v>Work mode</x:v>
      </x:c>
      <x:c r="B1" s="3" t="str">
        <x:v>Priority</x:v>
      </x:c>
      <x:c r="C1" s="3" t="str">
        <x:v>Status</x:v>
      </x:c>
    </x:row>
    <x:row r="2">
      <x:c r="A2" s="4" t="str">
        <x:v>On-site</x:v>
      </x:c>
      <x:c r="B2" s="4" t="str">
        <x:v>Apply immediately</x:v>
      </x:c>
      <x:c r="C2" s="4" t="str">
        <x:v>Open</x:v>
      </x:c>
    </x:row>
    <x:row r="3">
      <x:c r="A3" s="4" t="str">
        <x:v>Hybrid</x:v>
      </x:c>
      <x:c r="B3" s="4" t="str">
        <x:v>Strong option</x:v>
      </x:c>
      <x:c r="C3" s="4" t="str">
        <x:v>Saved</x:v>
      </x:c>
    </x:row>
    <x:row r="4">
      <x:c r="A4" s="4" t="str">
        <x:v>Remote</x:v>
      </x:c>
      <x:c r="B4" s="4" t="str">
        <x:v>Possible option</x:v>
      </x:c>
      <x:c r="C4" s="4" t="str">
        <x:v>Applied</x:v>
      </x:c>
    </x:row>
    <x:row r="5">
      <x:c r="A5" s="4" t="str">
        <x:v>Flexible</x:v>
      </x:c>
      <x:c r="B5" s="4" t="str">
        <x:v>Low priority</x:v>
      </x:c>
      <x:c r="C5" s="4" t="str">
        <x:v>Interview</x:v>
      </x:c>
    </x:row>
    <x:row r="6">
      <x:c r="A6" s="4"/>
      <x:c r="B6" s="4" t="str">
        <x:v>Do not apply</x:v>
      </x:c>
      <x:c r="C6" s="4" t="str">
        <x:v>Offer</x:v>
      </x:c>
    </x:row>
    <x:row r="7">
      <x:c r="A7" s="4"/>
      <x:c r="B7" s="4"/>
      <x:c r="C7" s="4" t="str">
        <x:v>Closed</x:v>
      </x:c>
    </x:row>
    <x:row r="8">
      <x:c r="A8" s="4"/>
      <x:c r="B8" s="4"/>
      <x:c r="C8" s="4" t="str">
        <x:v>Ineligible</x:v>
      </x:c>
    </x:row>
    <x:row r="9">
      <x:c r="A9" s="5"/>
      <x:c r="B9" s="5"/>
      <x:c r="C9" s="5" t="str">
        <x:v>Needs verification</x:v>
      </x:c>
    </x:row>
  </x:sheetData>
  <x:pageMargins left="0.7" right="0.7" top="0.75" bottom="0.75" header="0.3" footer="0.3"/>
</x:worksheet>
</file>